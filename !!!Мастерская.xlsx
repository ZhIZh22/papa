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DATA\!!!Чертежи\"/>
    </mc:Choice>
  </mc:AlternateContent>
  <xr:revisionPtr revIDLastSave="0" documentId="13_ncr:1_{0E4D3674-6003-48C8-ADF1-E17E5C3FC11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6" sheetId="12" r:id="rId1"/>
    <sheet name="25" sheetId="11" r:id="rId2"/>
    <sheet name="24" sheetId="10" r:id="rId3"/>
    <sheet name="23" sheetId="9" r:id="rId4"/>
    <sheet name="22" sheetId="7" r:id="rId5"/>
    <sheet name="21" sheetId="6" r:id="rId6"/>
    <sheet name="20" sheetId="5" r:id="rId7"/>
    <sheet name="19" sheetId="3" r:id="rId8"/>
    <sheet name="18" sheetId="1" r:id="rId9"/>
    <sheet name="Лист1" sheetId="2" r:id="rId10"/>
  </sheets>
  <calcPr calcId="191029" refMode="R1C1"/>
  <customWorkbookViews>
    <customWorkbookView name="User - Личное представление" guid="{955A80F1-6459-4BEB-9749-DD0DB9F79645}" mergeInterval="0" personalView="1" maximized="1" windowWidth="1362" windowHeight="543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2" l="1"/>
  <c r="C2" i="12" l="1"/>
  <c r="B2" i="12"/>
  <c r="E1" i="12"/>
  <c r="B3" i="12" l="1"/>
  <c r="E2" i="12" s="1"/>
  <c r="E3" i="12" s="1"/>
  <c r="F3" i="12" s="1"/>
  <c r="C2" i="11" l="1"/>
  <c r="B2" i="11"/>
  <c r="C2" i="10"/>
  <c r="B2" i="10"/>
  <c r="C2" i="9"/>
  <c r="B2" i="9"/>
  <c r="B3" i="11" l="1"/>
  <c r="E2" i="11" s="1"/>
  <c r="E3" i="11" s="1"/>
  <c r="F3" i="11" s="1"/>
  <c r="B3" i="10"/>
  <c r="E2" i="10" s="1"/>
  <c r="E3" i="10" s="1"/>
  <c r="F3" i="10" s="1"/>
  <c r="B3" i="9"/>
  <c r="E2" i="9" s="1"/>
  <c r="E3" i="9" s="1"/>
  <c r="F3" i="9" s="1"/>
  <c r="C2" i="7" l="1"/>
  <c r="C6" i="2" s="1"/>
  <c r="B2" i="7"/>
  <c r="B6" i="2" s="1"/>
  <c r="C2" i="6"/>
  <c r="C5" i="2" s="1"/>
  <c r="D6" i="2" l="1"/>
  <c r="B3" i="7"/>
  <c r="E2" i="7" s="1"/>
  <c r="E3" i="7" s="1"/>
  <c r="F3" i="7" s="1"/>
  <c r="B2" i="6"/>
  <c r="B3" i="6" l="1"/>
  <c r="E2" i="6" s="1"/>
  <c r="E3" i="6" s="1"/>
  <c r="F3" i="6" s="1"/>
  <c r="B5" i="2"/>
  <c r="D5" i="2" s="1"/>
  <c r="C2" i="5"/>
  <c r="C4" i="2" s="1"/>
  <c r="B2" i="5"/>
  <c r="B4" i="2" s="1"/>
  <c r="D4" i="2" s="1"/>
  <c r="B3" i="5" l="1"/>
  <c r="E2" i="5" s="1"/>
  <c r="E3" i="5" s="1"/>
  <c r="F3" i="5" s="1"/>
  <c r="C2" i="3" l="1"/>
  <c r="C3" i="2" s="1"/>
  <c r="B2" i="3"/>
  <c r="B3" i="2" s="1"/>
  <c r="D3" i="2" l="1"/>
  <c r="B3" i="3"/>
  <c r="E2" i="3" s="1"/>
  <c r="E3" i="3" s="1"/>
  <c r="F3" i="3" s="1"/>
  <c r="B2" i="1"/>
  <c r="B2" i="2" s="1"/>
  <c r="C2" i="1"/>
  <c r="C2" i="2" s="1"/>
  <c r="D2" i="2" l="1"/>
  <c r="B3" i="1"/>
</calcChain>
</file>

<file path=xl/sharedStrings.xml><?xml version="1.0" encoding="utf-8"?>
<sst xmlns="http://schemas.openxmlformats.org/spreadsheetml/2006/main" count="3497" uniqueCount="3060">
  <si>
    <t>Дата</t>
  </si>
  <si>
    <t>Приход</t>
  </si>
  <si>
    <t>Расход</t>
  </si>
  <si>
    <t>Комментарий</t>
  </si>
  <si>
    <t>остаток</t>
  </si>
  <si>
    <t>предоплата за кабельные стеллажи</t>
  </si>
  <si>
    <t>предоплата за 3 волшебные палки</t>
  </si>
  <si>
    <t>сварка рамы велосипеда</t>
  </si>
  <si>
    <t>ост за 3 палочки</t>
  </si>
  <si>
    <t>ост. За палочки перед НГ</t>
  </si>
  <si>
    <t>предоплата за кашпо</t>
  </si>
  <si>
    <t>кронштейны в гараж</t>
  </si>
  <si>
    <t>ост за кашпо</t>
  </si>
  <si>
    <t>б\н Юра</t>
  </si>
  <si>
    <t>диск по металлу 305</t>
  </si>
  <si>
    <t>фреза Ф8 по алюминию</t>
  </si>
  <si>
    <t>алюминиевый уголок 80х40х3 для сварки швеллера</t>
  </si>
  <si>
    <t>предоплата для сварки швеллера для ванной</t>
  </si>
  <si>
    <t>ЛДСП и фурнитура для стеллажей кабельных</t>
  </si>
  <si>
    <t>за фрезеровку крышки от компа</t>
  </si>
  <si>
    <t>сварка швеллера алюминиевого.</t>
  </si>
  <si>
    <t>фрезы Олмитул</t>
  </si>
  <si>
    <t>фанера на катушки</t>
  </si>
  <si>
    <t>металл Дэнчику на кронштейны</t>
  </si>
  <si>
    <t>лаки и краски всякие</t>
  </si>
  <si>
    <t>лиственница на птичьи домики</t>
  </si>
  <si>
    <t>аванс на два скворешника</t>
  </si>
  <si>
    <t>кронштейны и длинные хреновины Дэнчику</t>
  </si>
  <si>
    <t>оплата за два скворешника</t>
  </si>
  <si>
    <t>оплата за стеллажи кабельные</t>
  </si>
  <si>
    <t>железо (пруток и полоса)</t>
  </si>
  <si>
    <t>остаток за ключи</t>
  </si>
  <si>
    <t>аванс за ключи</t>
  </si>
  <si>
    <t>Юра за вентиляторы и сварку каркаса в бронницы</t>
  </si>
  <si>
    <t>зенкер, цековка, болтишки</t>
  </si>
  <si>
    <t>сверло 5,5, метчики М3 и М4.</t>
  </si>
  <si>
    <t>аванс за кроны для полок</t>
  </si>
  <si>
    <t>Милколенточка</t>
  </si>
  <si>
    <t>Епсон</t>
  </si>
  <si>
    <t>подварка ступицы квадра</t>
  </si>
  <si>
    <t>металл на кроны для полок</t>
  </si>
  <si>
    <t>проточка шаровых</t>
  </si>
  <si>
    <t>остаток за кронштейны полок</t>
  </si>
  <si>
    <t>аванс за текстолит</t>
  </si>
  <si>
    <t>пневмололоток</t>
  </si>
  <si>
    <t>милкофонарь и милкоаккумы</t>
  </si>
  <si>
    <t>фторопласт для Терлы</t>
  </si>
  <si>
    <t>Тиски, фрезы</t>
  </si>
  <si>
    <t>фрезы с директлота</t>
  </si>
  <si>
    <t>поворотный стол</t>
  </si>
  <si>
    <t>за текстолит</t>
  </si>
  <si>
    <t>налог за ИП</t>
  </si>
  <si>
    <t>переменка по Мануфактуре</t>
  </si>
  <si>
    <t>шпиндель метабо</t>
  </si>
  <si>
    <t>шпиндель метабо вернул</t>
  </si>
  <si>
    <t>резцы</t>
  </si>
  <si>
    <t>ленты для джета</t>
  </si>
  <si>
    <t>аванс за проект по стойке для камеры</t>
  </si>
  <si>
    <t>фрезы дисковые много.</t>
  </si>
  <si>
    <t>очечи  милвоке</t>
  </si>
  <si>
    <t>шлифленты</t>
  </si>
  <si>
    <t>сварка самоката</t>
  </si>
  <si>
    <t>аванс за кронштейны для оргстекла и светиков.</t>
  </si>
  <si>
    <t>продал остатки текстолита</t>
  </si>
  <si>
    <t>за фрезеровку дюрали для ЧПУшки</t>
  </si>
  <si>
    <t>коронки Милвоки</t>
  </si>
  <si>
    <t>кроны для оргстекла и светиков</t>
  </si>
  <si>
    <t>ост за проектирование стоек для камеры</t>
  </si>
  <si>
    <t xml:space="preserve">муфта под подшипник </t>
  </si>
  <si>
    <t>свёрла и фрезы ИНПО</t>
  </si>
  <si>
    <t>монтаж Максу в сервисе</t>
  </si>
  <si>
    <t>аванс за мангал.</t>
  </si>
  <si>
    <t>сорокин отдал за токарник (30 должен)</t>
  </si>
  <si>
    <t>перевозка токарника</t>
  </si>
  <si>
    <t>сварочник</t>
  </si>
  <si>
    <t>металл на подставку для конусов морзе</t>
  </si>
  <si>
    <t>парковка и переменка за апрель</t>
  </si>
  <si>
    <t>продажа сварочника</t>
  </si>
  <si>
    <t>сварка поленницы</t>
  </si>
  <si>
    <t>сварка блока Вольвы</t>
  </si>
  <si>
    <t>железки для поленницы и себе</t>
  </si>
  <si>
    <t>обмен сварочная смесь</t>
  </si>
  <si>
    <t>металл для стойки камеры</t>
  </si>
  <si>
    <t>краска для поленинцы</t>
  </si>
  <si>
    <t>валики для поленницы</t>
  </si>
  <si>
    <t>аванс за стойку камеры</t>
  </si>
  <si>
    <t>капролон</t>
  </si>
  <si>
    <t>провода и разъёмы</t>
  </si>
  <si>
    <t>колёсики</t>
  </si>
  <si>
    <t>болты</t>
  </si>
  <si>
    <t>доплата за поленницу</t>
  </si>
  <si>
    <t>шпиндель новый</t>
  </si>
  <si>
    <t>металл на каминный прибор</t>
  </si>
  <si>
    <t>метизы на каминный прибор и стойку</t>
  </si>
  <si>
    <t>покраска стойки</t>
  </si>
  <si>
    <t>металл в Метэкс</t>
  </si>
  <si>
    <t>килограмм порошковки</t>
  </si>
  <si>
    <t>от Макса за сварку радиатора</t>
  </si>
  <si>
    <t>сорокин отдал за токарник (не должен)</t>
  </si>
  <si>
    <t>аванс за каминный прибор</t>
  </si>
  <si>
    <t>сварка какой-то хреновины для мотика</t>
  </si>
  <si>
    <t>окончательно за стойку для камеры</t>
  </si>
  <si>
    <t>колёсики для стойки</t>
  </si>
  <si>
    <t>аванс за крышки для камеры</t>
  </si>
  <si>
    <t>за восстановление хреновины для мотика</t>
  </si>
  <si>
    <t>какая-то хрень в мастерскую</t>
  </si>
  <si>
    <t>Сверлилка ДеВолт</t>
  </si>
  <si>
    <t>мелочёвка в мастерскую.</t>
  </si>
  <si>
    <t>халат + перчатки</t>
  </si>
  <si>
    <t>палка ковки для каминного прибора и полотенца</t>
  </si>
  <si>
    <t>оплата за каминный прибор</t>
  </si>
  <si>
    <t>поменял раковину в мастерской</t>
  </si>
  <si>
    <t>остаток за переделку стойки и крышки</t>
  </si>
  <si>
    <t>безнал Юра за свет у Макса</t>
  </si>
  <si>
    <t>джелезки в Инпо</t>
  </si>
  <si>
    <t>мелочи в Леруа</t>
  </si>
  <si>
    <t>ящик для мачете</t>
  </si>
  <si>
    <t>аванс за накладку для замка</t>
  </si>
  <si>
    <t>винты из нержи</t>
  </si>
  <si>
    <t>накладка для замка</t>
  </si>
  <si>
    <t>от Макса предоплата за пилот стойки для мотика</t>
  </si>
  <si>
    <t>распечатка для стойки</t>
  </si>
  <si>
    <t>коронка и шлифдиски в Инпо</t>
  </si>
  <si>
    <t>металл на стойки для мотика</t>
  </si>
  <si>
    <t>коммуналка по якорю</t>
  </si>
  <si>
    <t>металл на подставку для мотика</t>
  </si>
  <si>
    <t>за проставочные шайбы</t>
  </si>
  <si>
    <t>от Макса аванс за 13 подставок для мота</t>
  </si>
  <si>
    <t>плазма подставок</t>
  </si>
  <si>
    <t>металл на подставки и стойку для кондея Цельсий проф</t>
  </si>
  <si>
    <t>шпильки на подставки и стойку для кондея Цельсий про</t>
  </si>
  <si>
    <t>армянский маслобачк</t>
  </si>
  <si>
    <t>Антону всякая мелочёвка</t>
  </si>
  <si>
    <t>сварочная проволока</t>
  </si>
  <si>
    <t>за Бронницы</t>
  </si>
  <si>
    <t>пильный диск</t>
  </si>
  <si>
    <t>оставил на счёте за налоги</t>
  </si>
  <si>
    <t>отдал Юре его половину за Бронницы</t>
  </si>
  <si>
    <t>два баллона газа</t>
  </si>
  <si>
    <t>шайбы</t>
  </si>
  <si>
    <t>труба</t>
  </si>
  <si>
    <t>от Макса за мотокронштейны</t>
  </si>
  <si>
    <t>оставил на налоги</t>
  </si>
  <si>
    <t>откатил Максу</t>
  </si>
  <si>
    <t>Сорокину за милкопилку, фрезы и счто-то ещё</t>
  </si>
  <si>
    <t>переменка за август</t>
  </si>
  <si>
    <t>сварка прицепа</t>
  </si>
  <si>
    <t>мелкий переходничёк</t>
  </si>
  <si>
    <t>фанера на домик для таймлапса</t>
  </si>
  <si>
    <t>аванс за таймлапс</t>
  </si>
  <si>
    <t>заточка круглых ножей</t>
  </si>
  <si>
    <t>заточка ножей для пнедробилки и ремонт опрыскивателя</t>
  </si>
  <si>
    <t xml:space="preserve">метизы </t>
  </si>
  <si>
    <t xml:space="preserve">ещё что-то </t>
  </si>
  <si>
    <t>заточка пнедробилки</t>
  </si>
  <si>
    <t>расчёт за домик для камеры</t>
  </si>
  <si>
    <t>милвоки всякие</t>
  </si>
  <si>
    <t>фанера на полки в т11</t>
  </si>
  <si>
    <t>Михалычу за 2 дня</t>
  </si>
  <si>
    <t>манипулятор</t>
  </si>
  <si>
    <t>газ</t>
  </si>
  <si>
    <t>металл на телегу поворотно подъёмную</t>
  </si>
  <si>
    <t>сдал гараж</t>
  </si>
  <si>
    <t>железяки всякие</t>
  </si>
  <si>
    <t>мойдодыр и железяки</t>
  </si>
  <si>
    <t>часть за платформу</t>
  </si>
  <si>
    <t>металл</t>
  </si>
  <si>
    <t>фанера</t>
  </si>
  <si>
    <t>от Славы за изготовление прототипа</t>
  </si>
  <si>
    <t>трубка нерж</t>
  </si>
  <si>
    <t>Алексей часть за платформу и часть за проектирование новой.</t>
  </si>
  <si>
    <t>Алексей закрыл полностью платформу и полностью проектирование и материал по новой</t>
  </si>
  <si>
    <t>подшипники</t>
  </si>
  <si>
    <t>железо</t>
  </si>
  <si>
    <t>Юра закрылся за вентиляторы</t>
  </si>
  <si>
    <t>Юра ваще закрылся за вентиляторы</t>
  </si>
  <si>
    <t>Юре за пресс, сварстолы и аренду Т11</t>
  </si>
  <si>
    <t>Сорокин вернул за стол</t>
  </si>
  <si>
    <t>за сварку магазина</t>
  </si>
  <si>
    <t>колёсики для ППУ</t>
  </si>
  <si>
    <t>метизы для ППУ</t>
  </si>
  <si>
    <t>шлпильки, гайки, струбцины</t>
  </si>
  <si>
    <t>подшипники для ППУ</t>
  </si>
  <si>
    <t>железо на свраочный стол</t>
  </si>
  <si>
    <t>от Андрея аванс за люк.</t>
  </si>
  <si>
    <t>газы</t>
  </si>
  <si>
    <t>часть за новую платформу</t>
  </si>
  <si>
    <t>от Юры за кожухи</t>
  </si>
  <si>
    <t>вернул Юре часть за аренду и за переменку.</t>
  </si>
  <si>
    <t>Юре за железки для ЧПУ</t>
  </si>
  <si>
    <t>от Андрея оплата за люк</t>
  </si>
  <si>
    <t>продал подставку из швеллера</t>
  </si>
  <si>
    <t>от Александра Коровина за полировку жуков</t>
  </si>
  <si>
    <t>Милвоки ножницы</t>
  </si>
  <si>
    <t>заказ с алика</t>
  </si>
  <si>
    <t>делительная головка</t>
  </si>
  <si>
    <t>милвоки</t>
  </si>
  <si>
    <t>крепмаркет</t>
  </si>
  <si>
    <t>литые кроны</t>
  </si>
  <si>
    <t>аванс за "паровоз"</t>
  </si>
  <si>
    <t>аренда и электричество</t>
  </si>
  <si>
    <t>фрезы</t>
  </si>
  <si>
    <t>доставка головки</t>
  </si>
  <si>
    <t>сварка рамы для Юры</t>
  </si>
  <si>
    <t>МКЭШ</t>
  </si>
  <si>
    <t>латунные болты</t>
  </si>
  <si>
    <t>за рельсодержатель</t>
  </si>
  <si>
    <t>опрыскиватель, угольник, маслёнка</t>
  </si>
  <si>
    <t>чугунина</t>
  </si>
  <si>
    <t>краска для рамочки</t>
  </si>
  <si>
    <t>от Павла за парогенератор</t>
  </si>
  <si>
    <t>Юре за парогенер</t>
  </si>
  <si>
    <t>от Юры за сборку Воронежа</t>
  </si>
  <si>
    <t>от Галины за подставки для туббочек</t>
  </si>
  <si>
    <t>металл на подставки</t>
  </si>
  <si>
    <t>проволока</t>
  </si>
  <si>
    <t>рельсы</t>
  </si>
  <si>
    <t>от Кмузова за рельсодержатель</t>
  </si>
  <si>
    <t>термосвёрла</t>
  </si>
  <si>
    <t>Максим аванс за стол</t>
  </si>
  <si>
    <t>от МР за снег</t>
  </si>
  <si>
    <t>Юре за аренду</t>
  </si>
  <si>
    <t>деревяшки для стола</t>
  </si>
  <si>
    <t>Роман аванс за турник</t>
  </si>
  <si>
    <t>Евгений за рамку, рассчиталсчя полностью</t>
  </si>
  <si>
    <t>металл для Романа и Максима</t>
  </si>
  <si>
    <t>латунные болты для рамки</t>
  </si>
  <si>
    <t>абразивные круги</t>
  </si>
  <si>
    <t>присадочные прутки</t>
  </si>
  <si>
    <t>стремянка от ЗиЛ</t>
  </si>
  <si>
    <t>кольцевая фреза и борфреза</t>
  </si>
  <si>
    <t>покраска стола</t>
  </si>
  <si>
    <t>резка лазером для Макса и домино</t>
  </si>
  <si>
    <t>болты для подставок Ямаха + мелочи в мастерскую.</t>
  </si>
  <si>
    <t>от Макса предоплата за 4 мотодержалки</t>
  </si>
  <si>
    <t>резка и шлифовка плиты для 3дпринтера</t>
  </si>
  <si>
    <t>от Евгения аванс за домино</t>
  </si>
  <si>
    <t>от Юры за сварку рамы Пламя</t>
  </si>
  <si>
    <t>покраска турника</t>
  </si>
  <si>
    <t>Роман ост. За турник</t>
  </si>
  <si>
    <t>роман за доставку турника</t>
  </si>
  <si>
    <t>леруа, материалы для стола и турника</t>
  </si>
  <si>
    <t>сверло центровочное</t>
  </si>
  <si>
    <t>от Юры за сборку Пламя</t>
  </si>
  <si>
    <t>стол+подоконник окончательны расчёт</t>
  </si>
  <si>
    <t>за панели для РЭА</t>
  </si>
  <si>
    <t>налог за панельки</t>
  </si>
  <si>
    <t>за изготовление панелей Анне</t>
  </si>
  <si>
    <t>от Кмузова за хранение его барахла</t>
  </si>
  <si>
    <t>от Романа за скобы</t>
  </si>
  <si>
    <t>от Вячеслава Струка за вторую плиту на принтер</t>
  </si>
  <si>
    <t>Юре за алюминий для плиты</t>
  </si>
  <si>
    <t>предоплата за дверки шкафа (всего 17 500)</t>
  </si>
  <si>
    <t>заварил коляску</t>
  </si>
  <si>
    <t>за дверки шкафа. Полностью</t>
  </si>
  <si>
    <t>метчик м2,5, метчикодержатель, винтики</t>
  </si>
  <si>
    <t>Евгений за доминошки промаванс.</t>
  </si>
  <si>
    <t>от Романыча за снег</t>
  </si>
  <si>
    <t>предоплата за увеличение стула и проставки</t>
  </si>
  <si>
    <t xml:space="preserve">метчик м8 </t>
  </si>
  <si>
    <t>пришло за мотоподставки Ямаха</t>
  </si>
  <si>
    <t>отложил на налох</t>
  </si>
  <si>
    <t>Максу доляна за мотоподставки</t>
  </si>
  <si>
    <t>доплата за увеличение стула и проставки, полностью закрыто</t>
  </si>
  <si>
    <t>резка заготовок для табуретки</t>
  </si>
  <si>
    <t>колёсики для табуретки</t>
  </si>
  <si>
    <t>покраска табуретки</t>
  </si>
  <si>
    <t>от Евгения за табуретку (итого пришло 30К +2500 на пиво, полностью закрыто, доминошки пока без аванса)</t>
  </si>
  <si>
    <t>аванс за воронение доминошек</t>
  </si>
  <si>
    <t>болты для табуретки</t>
  </si>
  <si>
    <t>электричество за февр</t>
  </si>
  <si>
    <t>мелочёвка в мастерскую</t>
  </si>
  <si>
    <t>Дней с начала года прошло</t>
  </si>
  <si>
    <t>Среднее за час\месяц</t>
  </si>
  <si>
    <t>Средний доход за день</t>
  </si>
  <si>
    <t>Евгений за 9 семигранных гаек (полностью закрыл)</t>
  </si>
  <si>
    <t>лазерная гравировка</t>
  </si>
  <si>
    <t>Вове за куски табуретки</t>
  </si>
  <si>
    <t>цепь + бита Милвоки</t>
  </si>
  <si>
    <t>от Романа за проставки для турника</t>
  </si>
  <si>
    <t>металл по мастерской</t>
  </si>
  <si>
    <t>покраска проставок для турника</t>
  </si>
  <si>
    <t>шлифовочная расходка</t>
  </si>
  <si>
    <t>милкошлифка</t>
  </si>
  <si>
    <t>химия</t>
  </si>
  <si>
    <t>Кмузов за бетонодавилку</t>
  </si>
  <si>
    <t>Слава за фрезерование стола для принтера</t>
  </si>
  <si>
    <t>чугун</t>
  </si>
  <si>
    <t>петли для доминошек</t>
  </si>
  <si>
    <t>бур для бетонодавилки</t>
  </si>
  <si>
    <t>окончательная оплата за воронение доминошек</t>
  </si>
  <si>
    <t>Михалычу за доминошки</t>
  </si>
  <si>
    <t>химпосуда</t>
  </si>
  <si>
    <t>серая труба</t>
  </si>
  <si>
    <t>кастрбля и поитка</t>
  </si>
  <si>
    <t>от Кмузова за шнекодавку, окончат.</t>
  </si>
  <si>
    <t>от Юры за сборку топливного стенда</t>
  </si>
  <si>
    <t>от Евгения аванс за домино и шайбы</t>
  </si>
  <si>
    <t>фрезы Олми</t>
  </si>
  <si>
    <t>муфты для ЧПУ</t>
  </si>
  <si>
    <t>батарейка милвока</t>
  </si>
  <si>
    <t>от Ильи Немова за мостовые кронштейны (только металл)</t>
  </si>
  <si>
    <t>оплатил металл на мостовые кроны</t>
  </si>
  <si>
    <t>газорезка металла на кроны</t>
  </si>
  <si>
    <t>Илья Белов (ИП Попова) за две прикатки</t>
  </si>
  <si>
    <t>от Галины за подставку для тумбочки</t>
  </si>
  <si>
    <t>Максу за милкодрел</t>
  </si>
  <si>
    <t>милкосабля.</t>
  </si>
  <si>
    <t>от Романа за трезубецЪ</t>
  </si>
  <si>
    <t>буковые дрова на домино</t>
  </si>
  <si>
    <t>нержавеющие миски</t>
  </si>
  <si>
    <t>Павлу за чпу фрезеровку.</t>
  </si>
  <si>
    <t>Игорь Гранёв за конструирование подшкафников</t>
  </si>
  <si>
    <t>фрезеровка пильного стола-2 и лазеррезка тряпок для домино</t>
  </si>
  <si>
    <t>милкочайник</t>
  </si>
  <si>
    <t>Игорь Гранёв за подшкафник Ритал + Иж</t>
  </si>
  <si>
    <t>Анне за резку подшкафников</t>
  </si>
  <si>
    <t>Анне за резку струбцин</t>
  </si>
  <si>
    <t>от Юры за сварку для Хусанбиеча</t>
  </si>
  <si>
    <t>от Попова за несделанные и проёбаные доминошки</t>
  </si>
  <si>
    <t>доставка из Штатов</t>
  </si>
  <si>
    <t>сварочная проволока и расходомер</t>
  </si>
  <si>
    <t>ленты для пилы</t>
  </si>
  <si>
    <t>16К20</t>
  </si>
  <si>
    <t>новас энерджи.</t>
  </si>
  <si>
    <t>от Юры за сварку Орехова</t>
  </si>
  <si>
    <t>за резку домино</t>
  </si>
  <si>
    <t>перевозка станка</t>
  </si>
  <si>
    <t>коррумпирование Сергея на НИИДАРе.</t>
  </si>
  <si>
    <t>фрещзеровка подхолодильника</t>
  </si>
  <si>
    <t>Серёге за сварочную проволоку</t>
  </si>
  <si>
    <t>от Галины за 3 подставки</t>
  </si>
  <si>
    <t>Цельсий-Проф за подресиверник</t>
  </si>
  <si>
    <t>Градусник за раму Пламя-2 и что-то ещё.</t>
  </si>
  <si>
    <t>налог за тры вышепоименованных пункта</t>
  </si>
  <si>
    <t>шкурки на шлифстанок</t>
  </si>
  <si>
    <t>Михалычу за работу над доминошками</t>
  </si>
  <si>
    <t>Ане за резку подстолий для Дорз</t>
  </si>
  <si>
    <t>забыл что.</t>
  </si>
  <si>
    <t>гайки Трамп</t>
  </si>
  <si>
    <t>лазер по шайбам и гайкам</t>
  </si>
  <si>
    <t>Михалыч за шлифовку домино</t>
  </si>
  <si>
    <t>цепь нерж</t>
  </si>
  <si>
    <t>занос станка</t>
  </si>
  <si>
    <t>погрузчик для станка</t>
  </si>
  <si>
    <t>аванс за хомуты</t>
  </si>
  <si>
    <t>Игорю за покраску мр.дорз</t>
  </si>
  <si>
    <t>аренда Т11 +свет</t>
  </si>
  <si>
    <t>колёсики для ЧПУшного подстолья</t>
  </si>
  <si>
    <t>лампочки на станки</t>
  </si>
  <si>
    <t>контактная сварка</t>
  </si>
  <si>
    <t>аванс в питер за коробку</t>
  </si>
  <si>
    <t>Сорокину за кубики (5К и часть за хомуты из 8ХХХ)</t>
  </si>
  <si>
    <t>за листы и трубку по хомутам.</t>
  </si>
  <si>
    <t>Сорокину ост. За хомуты</t>
  </si>
  <si>
    <t>10 листов нержи</t>
  </si>
  <si>
    <t>хомуты нерж.</t>
  </si>
  <si>
    <t>лазер , первые штук 100</t>
  </si>
  <si>
    <t>лазер, ещё хомуты</t>
  </si>
  <si>
    <t>остаток хомутов</t>
  </si>
  <si>
    <t>аренда + свет</t>
  </si>
  <si>
    <t>Михалычу</t>
  </si>
  <si>
    <t>Сорокину</t>
  </si>
  <si>
    <t>аванс за 5 листов и 48 метров трубки</t>
  </si>
  <si>
    <t>остаток за 5 листов и 48 метров трубки</t>
  </si>
  <si>
    <t>упаковочные материалы</t>
  </si>
  <si>
    <t>полиграфия + лазерная гравировка бирок.</t>
  </si>
  <si>
    <t>Сорокин за сварку</t>
  </si>
  <si>
    <t>доставка коробок для гомино</t>
  </si>
  <si>
    <t>остаток за коробки для гомино</t>
  </si>
  <si>
    <t>Попов за воронение гомино и кубиков</t>
  </si>
  <si>
    <t>михалыч за два дня</t>
  </si>
  <si>
    <t>от Ольховского за доминошки и гайки</t>
  </si>
  <si>
    <t>Аня за резку нержи</t>
  </si>
  <si>
    <t>мелочи на базаре</t>
  </si>
  <si>
    <t>проволока вязальная</t>
  </si>
  <si>
    <t>Сорокину за сварку</t>
  </si>
  <si>
    <t>коробки и скотч</t>
  </si>
  <si>
    <t>Михалыч</t>
  </si>
  <si>
    <t>горелка полуавтомату</t>
  </si>
  <si>
    <t>Анна за остаток хомутов. Вроде полностью</t>
  </si>
  <si>
    <t>книжки</t>
  </si>
  <si>
    <t>сорокин сварка</t>
  </si>
  <si>
    <t>от Славы за хомуты</t>
  </si>
  <si>
    <t>фрикционные свёрла</t>
  </si>
  <si>
    <t>виброопоры</t>
  </si>
  <si>
    <t>петли нерж</t>
  </si>
  <si>
    <t>переходник с ложки на мотор для макдональдса</t>
  </si>
  <si>
    <t>два листа нержи</t>
  </si>
  <si>
    <t>от Ивана за кронштейны</t>
  </si>
  <si>
    <t>Ане за кронштейны</t>
  </si>
  <si>
    <t>Ане за резку хомутов</t>
  </si>
  <si>
    <t>от Ивана за доработку домика для барби</t>
  </si>
  <si>
    <t>Ивану метизы</t>
  </si>
  <si>
    <t>от Рената за шкивочек (ещё 2К торчит)</t>
  </si>
  <si>
    <t>от Ивана аванс за 3 кронштейна</t>
  </si>
  <si>
    <t>маска Спидглас</t>
  </si>
  <si>
    <t>от Сорокина за сварочную расходку</t>
  </si>
  <si>
    <t>от Рената за шкивочек</t>
  </si>
  <si>
    <t>юре за аренду и свет</t>
  </si>
  <si>
    <t>антону за трубку</t>
  </si>
  <si>
    <t>Юре ост за электричество</t>
  </si>
  <si>
    <t>от Юры за алюминиевую раму для цельсия</t>
  </si>
  <si>
    <t>Антону за трубу  и лист (6 листов)</t>
  </si>
  <si>
    <t>От Славы, аванс за 125 хомутов</t>
  </si>
  <si>
    <t>Ане за короб, доработки кронштейна для камеры, и аванс за резку платин для Славы</t>
  </si>
  <si>
    <t>Ане за пластины</t>
  </si>
  <si>
    <t>Михалычу за день</t>
  </si>
  <si>
    <t>Макс</t>
  </si>
  <si>
    <t>алик</t>
  </si>
  <si>
    <t>ане за резку большого хомута</t>
  </si>
  <si>
    <t>пила милвоки</t>
  </si>
  <si>
    <t>от Евгения аванс за каркас тумбы</t>
  </si>
  <si>
    <t>от Юры за никелированные стаканы и работу по холмашине Орехова</t>
  </si>
  <si>
    <t>Антону за металл для тумбы Ольховского</t>
  </si>
  <si>
    <t>от Антона за пиптик для КФЦ</t>
  </si>
  <si>
    <t>от Славы закрыли полностью 700 хомутов</t>
  </si>
  <si>
    <t>от Славы, второй аванс за 125 хомутов ост - 69375</t>
  </si>
  <si>
    <t>от Ольховского аванс за кронштейны (из 22)</t>
  </si>
  <si>
    <t>от Рябова аванс за два штендера и стеллу</t>
  </si>
  <si>
    <t>Рябову за пластиковые хреновины под конуса морзе</t>
  </si>
  <si>
    <t>программа для участия в торгах</t>
  </si>
  <si>
    <t>свисток цифровой подписи</t>
  </si>
  <si>
    <t>от Антона за пиптик для КФЦ-2</t>
  </si>
  <si>
    <t>ане за резку кронов Ольховского и херни на звёздный городок</t>
  </si>
  <si>
    <t>Ане за дорезку кронов Ольховского</t>
  </si>
  <si>
    <t>Антон - очередной пиптик в КФЦ</t>
  </si>
  <si>
    <t>от Ольховского за кронштейны (переплатил в 2 раза!!!)</t>
  </si>
  <si>
    <t>Валере за порошок</t>
  </si>
  <si>
    <t>УЦИ на фрезер и токарник</t>
  </si>
  <si>
    <t>Валере за покраску</t>
  </si>
  <si>
    <t>от Ивана Дёмина за усиление кронштейна</t>
  </si>
  <si>
    <t>от Олега за приспособу для тиснения</t>
  </si>
  <si>
    <t>металла (труба 102 и 89 для Павла)</t>
  </si>
  <si>
    <t>Михалычу за шлифовку</t>
  </si>
  <si>
    <t>от Антона за пластиковую крышку</t>
  </si>
  <si>
    <t>от Олега за приспособу для тиснения (из 12. ост 3К)</t>
  </si>
  <si>
    <t>какаято хрень, забыл</t>
  </si>
  <si>
    <t>от Жохи за штуку для петанка</t>
  </si>
  <si>
    <t>аренда август</t>
  </si>
  <si>
    <t>электричество авг</t>
  </si>
  <si>
    <t>металл доплата на флюгер</t>
  </si>
  <si>
    <t>Резка Жохиной херни и фланцев для флюгера</t>
  </si>
  <si>
    <t>резка деталей для коптера</t>
  </si>
  <si>
    <t>иметизы для коптера и павла</t>
  </si>
  <si>
    <t>работа по коптеру.</t>
  </si>
  <si>
    <t>очередня хреновина в КФС</t>
  </si>
  <si>
    <t>Валере за покраску херовин для Павла</t>
  </si>
  <si>
    <t>переделка коптера</t>
  </si>
  <si>
    <t>Ане за резку деталей коптера</t>
  </si>
  <si>
    <t>аванс за болты для феррари (10000 работа +1500 материал)</t>
  </si>
  <si>
    <t>Валере за перекраску коряг</t>
  </si>
  <si>
    <t>метчик и гайки эриксона</t>
  </si>
  <si>
    <t>краски</t>
  </si>
  <si>
    <t>промаванс Ольховский (за тумбу)</t>
  </si>
  <si>
    <t>металл на болты для феррари.</t>
  </si>
  <si>
    <t>олег за приблуду для тиснения и говногубцы</t>
  </si>
  <si>
    <t>кассеты для токарника</t>
  </si>
  <si>
    <t>вернул за болты от феррари</t>
  </si>
  <si>
    <t>фанера для мебели Ользовский</t>
  </si>
  <si>
    <t>Ольховский на материал для засова.</t>
  </si>
  <si>
    <t>аванс за мостостроение</t>
  </si>
  <si>
    <t>От Павла за коряги и флюгер</t>
  </si>
  <si>
    <t>налоги по ИП ПОС</t>
  </si>
  <si>
    <t>продал токарник</t>
  </si>
  <si>
    <t>за вывоз токарника</t>
  </si>
  <si>
    <t>Антону за нержавейку для Ольховского</t>
  </si>
  <si>
    <t>пневматика всякая</t>
  </si>
  <si>
    <t>Ане за резку нержи для Ольховского</t>
  </si>
  <si>
    <t>Валере за перекраску столба</t>
  </si>
  <si>
    <t>Михалычу за всякую железную хренотень (ещё 500 должен)</t>
  </si>
  <si>
    <t>нерж.метизы Ольховскому</t>
  </si>
  <si>
    <t>от Ольховского за нерж. Листы</t>
  </si>
  <si>
    <t>Антону за нерж. Листы</t>
  </si>
  <si>
    <t>замок Ольховскому</t>
  </si>
  <si>
    <t>за оцифровку кошкиного гамака</t>
  </si>
  <si>
    <t>от Ольховского за запоры на ворота</t>
  </si>
  <si>
    <t>михалычу был дожен</t>
  </si>
  <si>
    <t>Ане за резку столещниц Ольховского</t>
  </si>
  <si>
    <t>сварка люстры</t>
  </si>
  <si>
    <t>вилка трёхфазная</t>
  </si>
  <si>
    <t>Киплайн за всякую хрень для моста.</t>
  </si>
  <si>
    <t>Ане за резку Киплайна</t>
  </si>
  <si>
    <t>за сварку люстры</t>
  </si>
  <si>
    <t>Антону за доп. Нержавейку и уголок для моста</t>
  </si>
  <si>
    <t xml:space="preserve">аренда </t>
  </si>
  <si>
    <t>Валере за покраску Киплайна</t>
  </si>
  <si>
    <t>Валере за покраску подстолий Ольховского</t>
  </si>
  <si>
    <t>прицеп</t>
  </si>
  <si>
    <t>всякая мелочь в автомагазине</t>
  </si>
  <si>
    <t>Ане за резку нержи - яйца Ольховского, кронциркули и задняя бабка на 16</t>
  </si>
  <si>
    <t>песочка нержавейки Ольховскому</t>
  </si>
  <si>
    <t>аренда прицепа для нержавейки</t>
  </si>
  <si>
    <t xml:space="preserve">щлифкруги </t>
  </si>
  <si>
    <t>Александр Акулов за пластины (аванс из 28К)</t>
  </si>
  <si>
    <t>Ане за резку Акулова и Коляна</t>
  </si>
  <si>
    <t>Валере за покраску Акулова</t>
  </si>
  <si>
    <t>Ане за резку вентрешоток Ольховского</t>
  </si>
  <si>
    <t>Акулов за пластины</t>
  </si>
  <si>
    <t>От коляна за мерседеч</t>
  </si>
  <si>
    <t>Ольховский за вентрешётки</t>
  </si>
  <si>
    <t>Валере за покраску пластин и яиц</t>
  </si>
  <si>
    <t>от Ольховского за яйца</t>
  </si>
  <si>
    <t>винты нерж для Ольховского</t>
  </si>
  <si>
    <t xml:space="preserve">железяки всякие </t>
  </si>
  <si>
    <t>нержавейка для Ольховского</t>
  </si>
  <si>
    <t>электротранспортир</t>
  </si>
  <si>
    <t>от Олега за угольник</t>
  </si>
  <si>
    <t>перевозка мебели Ольховского</t>
  </si>
  <si>
    <t>от Алексея за звезду (половина)</t>
  </si>
  <si>
    <t>от Юры аванс за корпус для орехова</t>
  </si>
  <si>
    <t>от Ольховского за мебеля. Закрыто полностью</t>
  </si>
  <si>
    <t>от армян за ремонт ТНВД</t>
  </si>
  <si>
    <t>Ане за стяжки Ольховского и звезду Алексея</t>
  </si>
  <si>
    <t>от Сергея Кирьянова аванс из 25К за изготовление намоточной фиговины</t>
  </si>
  <si>
    <t>Ане за резку нержи на крепления вентиляторов Цельсий</t>
  </si>
  <si>
    <t>Ане за резку Кирьянова</t>
  </si>
  <si>
    <t>Антону зща пруток для Кирьянова</t>
  </si>
  <si>
    <t>Антону за пруток Ф16</t>
  </si>
  <si>
    <t>от Юры за крон для вентилятора и корпус для Орехова</t>
  </si>
  <si>
    <t>от Сергея Кирьянова ост из 25К за изготовление намоточной фиговины</t>
  </si>
  <si>
    <t>Ане за резку всякой херни</t>
  </si>
  <si>
    <t>от Ольховского за подгонку тумбочек</t>
  </si>
  <si>
    <t>Ерофей за проточку вала движка</t>
  </si>
  <si>
    <t>Валере за покраску звезды</t>
  </si>
  <si>
    <t xml:space="preserve">Ане за резку уголков для Зиги, подсмартфонников и подтумбочника </t>
  </si>
  <si>
    <t>аванс за подтумбочник (из 6600)</t>
  </si>
  <si>
    <t>за прототип замка для лексуса</t>
  </si>
  <si>
    <t>Антону за металл для Дениса</t>
  </si>
  <si>
    <t>за рамки из нержи</t>
  </si>
  <si>
    <t>Ане за резку кронштейнов и фасада Цельсия и рамок</t>
  </si>
  <si>
    <t>от Цельсия за кронштейны и фасад</t>
  </si>
  <si>
    <t>Ане за дорезку кронштейнов Цельсия и обходов для Дениса</t>
  </si>
  <si>
    <t>Серёге35 за флоудрилл</t>
  </si>
  <si>
    <t>Антону ща металл для Дэна</t>
  </si>
  <si>
    <t>резцы с Алика</t>
  </si>
  <si>
    <t>гайки</t>
  </si>
  <si>
    <t>Валере за поркраску Дениса и подтумбочки мистер дорз</t>
  </si>
  <si>
    <t>Александр подтумбочник мистер дорз</t>
  </si>
  <si>
    <t>Александр ещё 2 подтумбочника аванс</t>
  </si>
  <si>
    <t>Дэн аванс за 5 траверс (из 60)</t>
  </si>
  <si>
    <t>Ане за резку двух подтумбочников, треугольников для подиумов и фрезеровку бревна</t>
  </si>
  <si>
    <t>галтовка нержи</t>
  </si>
  <si>
    <t>Ане за резку трубы для Дэна</t>
  </si>
  <si>
    <t>Валере за покраску подтумбочников</t>
  </si>
  <si>
    <t>аванс от Дмитрия за стол 80х40</t>
  </si>
  <si>
    <t>Антону за трубу нерж для Орехова</t>
  </si>
  <si>
    <t>Антону за круг Ф32 38ХС</t>
  </si>
  <si>
    <t>краска на подиумы</t>
  </si>
  <si>
    <t>фанера для подиумов</t>
  </si>
  <si>
    <t>винты для подиумов</t>
  </si>
  <si>
    <t xml:space="preserve">Александр, два подтумбочника </t>
  </si>
  <si>
    <t>Валера за покраску траверс</t>
  </si>
  <si>
    <t>винты из нержи для подсмартфонников и плашкодержатель</t>
  </si>
  <si>
    <t>от Ольховского за 4 подсмартфонника</t>
  </si>
  <si>
    <t>Валере за крючки</t>
  </si>
  <si>
    <t>от Дениса за траверсы</t>
  </si>
  <si>
    <t>антону за металл на стол 80х40</t>
  </si>
  <si>
    <t>спецовка и наушники</t>
  </si>
  <si>
    <t>нарезка для галтовки</t>
  </si>
  <si>
    <t>Паше за печать всякой фигни для Дэна</t>
  </si>
  <si>
    <t>Ане за резку трёхи для Ольховского</t>
  </si>
  <si>
    <t>Валере за покраску стола 80х40</t>
  </si>
  <si>
    <t>от Алексея за звезду (ост)</t>
  </si>
  <si>
    <t>Паше за доделку звезды (зачлись проточкой вала)</t>
  </si>
  <si>
    <t>от Дмитрия за подстолье остаток</t>
  </si>
  <si>
    <t>от Ольховского за нержавейку для бани</t>
  </si>
  <si>
    <t>от Дениса за подиумы (ост)</t>
  </si>
  <si>
    <t>Михалычу за сатинирование нержи Ольховскому</t>
  </si>
  <si>
    <t>шкив для галтовки</t>
  </si>
  <si>
    <t>Семёну за ремни.</t>
  </si>
  <si>
    <t>львовчик</t>
  </si>
  <si>
    <t>от Сергея ост за проектирование станка и за детальку</t>
  </si>
  <si>
    <t>от Орехова за трубы</t>
  </si>
  <si>
    <t>Ане за резку 9 кронов для Орехова</t>
  </si>
  <si>
    <t>от Дэна за уголки</t>
  </si>
  <si>
    <t>Валере за покраску уголков и моторамы галтовки</t>
  </si>
  <si>
    <t>металл на уголки</t>
  </si>
  <si>
    <t>всякая херь в леруашке</t>
  </si>
  <si>
    <t>Сергей за алюминиевую хреновинку</t>
  </si>
  <si>
    <t>Юре за материал на алюминиевую херовину.</t>
  </si>
  <si>
    <t>алюминий на шкив</t>
  </si>
  <si>
    <t>фанера дэну</t>
  </si>
  <si>
    <t>от Ольховского аванс за верстак 50%</t>
  </si>
  <si>
    <t>от Ебобата аванс за стеллаж (из 35)</t>
  </si>
  <si>
    <t>Валере аванс за верстак и Ебобата, общ 25+20</t>
  </si>
  <si>
    <t>от Михалыча за железяки</t>
  </si>
  <si>
    <t>Ане за железяки</t>
  </si>
  <si>
    <t>от Юры за кроны вентиляторов для орехова</t>
  </si>
  <si>
    <t>всякая хрень с Алика</t>
  </si>
  <si>
    <t>от дэна за хранение железяк</t>
  </si>
  <si>
    <t>Ане за резку уголков для Ебобата и переделку Зигиных нащельников</t>
  </si>
  <si>
    <t>Валере за покраску пёськи и Зигиных нащельников</t>
  </si>
  <si>
    <t>галтовочные тела</t>
  </si>
  <si>
    <t>шлифдиски всякие</t>
  </si>
  <si>
    <t>направляйки для ЧПУ</t>
  </si>
  <si>
    <t>от Вовы за покраску пёськи</t>
  </si>
  <si>
    <t>Валере остаток за стеллаж Ебобата</t>
  </si>
  <si>
    <t>от Ебобата за стеллаж. Расчитался.</t>
  </si>
  <si>
    <t>от Ольховского аванс на болты и гайки из чугуна</t>
  </si>
  <si>
    <t>за чугун для Ольховского</t>
  </si>
  <si>
    <t>от Кирьянова аванс за станок (из 60)</t>
  </si>
  <si>
    <t>за лазер на станок Кирьянова и удлинители сварстола</t>
  </si>
  <si>
    <t>от Сорокина за удлинители сварстола</t>
  </si>
  <si>
    <t>всякая мелочёвка для намоточного станка</t>
  </si>
  <si>
    <t>за изготовление оснований испытательных для Славы</t>
  </si>
  <si>
    <t>металл за основания стендов для Славы</t>
  </si>
  <si>
    <t>разгрузка металла</t>
  </si>
  <si>
    <t>Михаоыч</t>
  </si>
  <si>
    <t>от Ольховского за болванку из меди и на тиски\гриндер</t>
  </si>
  <si>
    <t>Антону за медь</t>
  </si>
  <si>
    <t>сварка вилки велика</t>
  </si>
  <si>
    <t>Валере за верстак Ольховского</t>
  </si>
  <si>
    <t>От Ольховского остатовк за верстак</t>
  </si>
  <si>
    <t>электрика на верстак</t>
  </si>
  <si>
    <t>длинное сверло для Кирьянова</t>
  </si>
  <si>
    <t>ТО и ремонт станков</t>
  </si>
  <si>
    <t>масло на станки</t>
  </si>
  <si>
    <t>ремни на намоточный станок</t>
  </si>
  <si>
    <t>от Ольховского за электрику</t>
  </si>
  <si>
    <t>тиски и гриндер</t>
  </si>
  <si>
    <t>от Кирьянова за пиптик</t>
  </si>
  <si>
    <t>металл на орен</t>
  </si>
  <si>
    <t>платёжка</t>
  </si>
  <si>
    <t>диски 230</t>
  </si>
  <si>
    <t>трубка 8х1</t>
  </si>
  <si>
    <t>михалыч</t>
  </si>
  <si>
    <t>Рябову за гравировку болтов</t>
  </si>
  <si>
    <t>центроискатель оптический</t>
  </si>
  <si>
    <t>резец</t>
  </si>
  <si>
    <t>пуансоны центрдрилл</t>
  </si>
  <si>
    <t>ост за болты Ольховский</t>
  </si>
  <si>
    <t>олеиновая кислота и сало для резьб</t>
  </si>
  <si>
    <t>резка шестёрки на Орен</t>
  </si>
  <si>
    <t>разгрузка хер знает чего</t>
  </si>
  <si>
    <t>замок на сарай</t>
  </si>
  <si>
    <t xml:space="preserve">переноска компрессоров </t>
  </si>
  <si>
    <t>аренда сарая</t>
  </si>
  <si>
    <t>разгрузка меди</t>
  </si>
  <si>
    <t>Максу за помощь с намоточником</t>
  </si>
  <si>
    <t>за Орен</t>
  </si>
  <si>
    <t>за орен</t>
  </si>
  <si>
    <t>Валере за покркаску намоточника</t>
  </si>
  <si>
    <t>от Сергея за намоточник</t>
  </si>
  <si>
    <t>серва для ТВ16</t>
  </si>
  <si>
    <t>длинная горелка +отрезные диски</t>
  </si>
  <si>
    <t>от Актуария окэшили с сервиса 110</t>
  </si>
  <si>
    <t>Валере в подотчёт</t>
  </si>
  <si>
    <t>от Сорокина за его железки</t>
  </si>
  <si>
    <t>нарезка на орен, сорокину и тв-16</t>
  </si>
  <si>
    <t>от горыныча за расширитель сомоката</t>
  </si>
  <si>
    <t>за хомуты для детекторов</t>
  </si>
  <si>
    <t>аванс 30% за детекторы</t>
  </si>
  <si>
    <t>Валере за рамы. Рассчитались</t>
  </si>
  <si>
    <t>Антону за трубку</t>
  </si>
  <si>
    <t>Максу за хомуты</t>
  </si>
  <si>
    <t>от Славы за Мытищи</t>
  </si>
  <si>
    <t>Сорокину за хомуты</t>
  </si>
  <si>
    <t>Паше за маркировку пультов для Орена и резку деревяшек на подставки</t>
  </si>
  <si>
    <t>от Юры за сборку Орена</t>
  </si>
  <si>
    <t>отСлавы за хомуты</t>
  </si>
  <si>
    <t>оезка деталей для такелажных тележек</t>
  </si>
  <si>
    <t>за кран от Цельсия</t>
  </si>
  <si>
    <t>металл на кран Цельсия</t>
  </si>
  <si>
    <t>Валере за сварку крана</t>
  </si>
  <si>
    <t>патрон сверлильный для гнома</t>
  </si>
  <si>
    <t>от никиты за пряжку</t>
  </si>
  <si>
    <t>от Славы за хомуты.</t>
  </si>
  <si>
    <t>от Славы аванс за мытищи</t>
  </si>
  <si>
    <t>аванс за прягу от Ярослава Бучковского</t>
  </si>
  <si>
    <t>Антону за калиброванный пруток Ф20</t>
  </si>
  <si>
    <t>Валере за металл на краник</t>
  </si>
  <si>
    <t>михалычу за мытищи</t>
  </si>
  <si>
    <t>Максу за мытищи</t>
  </si>
  <si>
    <t>резка на краник, каталки</t>
  </si>
  <si>
    <t>Валере за сварку и покраску краника</t>
  </si>
  <si>
    <t>за Мытищи остаток</t>
  </si>
  <si>
    <t>тэкна за гибку профилей</t>
  </si>
  <si>
    <t>Антону за лист нержавки</t>
  </si>
  <si>
    <t>Валере за профиля</t>
  </si>
  <si>
    <t>швеллер на ордынку</t>
  </si>
  <si>
    <t>Максу за сварку ордынки</t>
  </si>
  <si>
    <t>галтовка</t>
  </si>
  <si>
    <t>Валере за доставку компрессоров</t>
  </si>
  <si>
    <t>погрузчик</t>
  </si>
  <si>
    <t>михалычу за ордынку</t>
  </si>
  <si>
    <t>Глазкову за шайбы проставочные и ольховскому табличку</t>
  </si>
  <si>
    <t>Тэкна за окончание монтажа</t>
  </si>
  <si>
    <t>от недоспасова половина за хомуты</t>
  </si>
  <si>
    <t>Михалычу за мытищи</t>
  </si>
  <si>
    <t>Глазкову за траверсы</t>
  </si>
  <si>
    <t>Глазкову за нержу для хомутов</t>
  </si>
  <si>
    <t>шпилька, хомуты, рейка и т.д. для ордынки</t>
  </si>
  <si>
    <t>Максу за орду</t>
  </si>
  <si>
    <t>цепь Ольховскому, болты и перчатки милвоки</t>
  </si>
  <si>
    <t>краска Ольховскому на головы от Фрасколда</t>
  </si>
  <si>
    <t>Максу за Книпекс</t>
  </si>
  <si>
    <t>чуваку за КМДшки</t>
  </si>
  <si>
    <t>Семёну за ремень</t>
  </si>
  <si>
    <t>техгазы</t>
  </si>
  <si>
    <t>Сергею резка уголков и т.п. для Орехова стола</t>
  </si>
  <si>
    <t>цепь для галтовки</t>
  </si>
  <si>
    <t>за "грабли"</t>
  </si>
  <si>
    <t>Валере за покраску граблей, балясин в каширу и навески для ТВ16</t>
  </si>
  <si>
    <t>за полотенцесушитель аванс</t>
  </si>
  <si>
    <t>Валере за мебель Орехову</t>
  </si>
  <si>
    <t>Валере за крышки для пульта Орехову и за гибку профилей в мытищи</t>
  </si>
  <si>
    <t xml:space="preserve">от Славы за монтаж Мытищ и за профиль </t>
  </si>
  <si>
    <t>от Ольховского за проектирование мангала</t>
  </si>
  <si>
    <t>для медели орехову всякая мелочёвка</t>
  </si>
  <si>
    <t xml:space="preserve">от Гранёва за кронштейн </t>
  </si>
  <si>
    <t>Серегею резка и гибка: Огневу лоток, Арамогенератор крышки, орехов крепление панели</t>
  </si>
  <si>
    <t>Сергею резка и гибка Гранёву крон</t>
  </si>
  <si>
    <t>Арам аванс за генератор</t>
  </si>
  <si>
    <t>Сергей резка джетпака Орехову</t>
  </si>
  <si>
    <t>метизы нерж для джетпака</t>
  </si>
  <si>
    <t>сварка полотенчика</t>
  </si>
  <si>
    <t>Паше за маркировку ЧМИ панели для орехова и ДСП для мебели орехову</t>
  </si>
  <si>
    <t>валере покраска хуйни для огнева</t>
  </si>
  <si>
    <t>От огнева за его хуйню</t>
  </si>
  <si>
    <t>от Орехова за прототип горелки</t>
  </si>
  <si>
    <t>Антону за трубу для арамогенератора</t>
  </si>
  <si>
    <t>Максу за ящики для орехова</t>
  </si>
  <si>
    <t>Максу за Орду</t>
  </si>
  <si>
    <t>сдали компрессов с орды</t>
  </si>
  <si>
    <t>от Сервиса за Орду</t>
  </si>
  <si>
    <t>Юрина доляна</t>
  </si>
  <si>
    <t>Юрина доляна за прототип горелки</t>
  </si>
  <si>
    <t>Чипидип</t>
  </si>
  <si>
    <t>доски на орду</t>
  </si>
  <si>
    <t>крюки, цепь, ведро и т.д. на орду</t>
  </si>
  <si>
    <t>Валере за покраску ореховой мебели</t>
  </si>
  <si>
    <t>от Орехова за две горелки и корпус контроллера</t>
  </si>
  <si>
    <t>Глазкову за резку двух горелок +корпуса кортноллера</t>
  </si>
  <si>
    <t>нерж метизы на горелку</t>
  </si>
  <si>
    <t>харчи на орду</t>
  </si>
  <si>
    <t xml:space="preserve">Михалычу </t>
  </si>
  <si>
    <t>максу за уголок</t>
  </si>
  <si>
    <t>за орду</t>
  </si>
  <si>
    <t>юрина доляна за орду</t>
  </si>
  <si>
    <t>труба нерж на горелки</t>
  </si>
  <si>
    <t>от Дёмкина аванс за железяки</t>
  </si>
  <si>
    <t>Глазкову за железяки Дёмкина</t>
  </si>
  <si>
    <t>Валере за покраску железяк для Дёмкина</t>
  </si>
  <si>
    <t>от Михаила за полотенцесушитель</t>
  </si>
  <si>
    <t>возврат Михаилу за полотенцесушитель</t>
  </si>
  <si>
    <t>от Дёмкина за железяки</t>
  </si>
  <si>
    <t>от Орехова за мебель остаток</t>
  </si>
  <si>
    <t>от Орехова за бак аванс 100%</t>
  </si>
  <si>
    <t>от Орезова за фланцы 100%</t>
  </si>
  <si>
    <t>налоги за Ореховские деньги</t>
  </si>
  <si>
    <t>Юрина доляна за орехова</t>
  </si>
  <si>
    <t>моя половина за аренду сарая</t>
  </si>
  <si>
    <t>металл на бак Орехову</t>
  </si>
  <si>
    <t>Валере за покраску мостов</t>
  </si>
  <si>
    <t>за сверление уголков</t>
  </si>
  <si>
    <t>Сергею за бак Орехова</t>
  </si>
  <si>
    <t>витуха и прочее на орду</t>
  </si>
  <si>
    <t>труба Ф60 для Орехова</t>
  </si>
  <si>
    <t>метизы для переходного диска Орехову</t>
  </si>
  <si>
    <t>За резку металла для кондукторов на вилку</t>
  </si>
  <si>
    <t>от Кмузова за кондукторы на вилку (ост 20 000)</t>
  </si>
  <si>
    <t>Михалычу за вывоз Орды</t>
  </si>
  <si>
    <t>аренда прицепа</t>
  </si>
  <si>
    <t>моя половина за металлолом с орды</t>
  </si>
  <si>
    <t>от Ольховского аванс за мангал</t>
  </si>
  <si>
    <t>от Кмузова за оснастку</t>
  </si>
  <si>
    <t>От орехова за фланец и отливы</t>
  </si>
  <si>
    <t>Глазкову за резку мангала</t>
  </si>
  <si>
    <t>Альберту за круг для мангала</t>
  </si>
  <si>
    <t>развёртка и струбцины</t>
  </si>
  <si>
    <t>натяжители для мангала</t>
  </si>
  <si>
    <t>Глазкову за звёздочки</t>
  </si>
  <si>
    <t>Альберту за трубу на мангал</t>
  </si>
  <si>
    <t>Альберту за лист на мангал</t>
  </si>
  <si>
    <t>от Ольховского за мангал</t>
  </si>
  <si>
    <t>от Кмузова аванс (из 35) за кондуктор для боковины</t>
  </si>
  <si>
    <t>Глазкову за резку на мангал и для Орехова</t>
  </si>
  <si>
    <t>Орехову резка резины</t>
  </si>
  <si>
    <t>горелка и прутки по алюмину</t>
  </si>
  <si>
    <t>Ольховскому откат за поднаушник</t>
  </si>
  <si>
    <t>от Кмузова за сварку и покраску вилок</t>
  </si>
  <si>
    <t>от Орехова за резиновый демпфер</t>
  </si>
  <si>
    <t>стопорные кольца</t>
  </si>
  <si>
    <t>цепь на мангал</t>
  </si>
  <si>
    <t>от Кмузова остаток за проектирование кондукторов на боковину</t>
  </si>
  <si>
    <t>Глазкову, резка мангала</t>
  </si>
  <si>
    <t>метизы на магнал</t>
  </si>
  <si>
    <t>термометр на мангал</t>
  </si>
  <si>
    <t>Сорокину остаток за щкафчики и за жижу</t>
  </si>
  <si>
    <t>сдал металлолом</t>
  </si>
  <si>
    <t>за стекло доля мангала</t>
  </si>
  <si>
    <t>антону за трубу на мангал и сетку на мангал</t>
  </si>
  <si>
    <t>Глазкову за сварку тумбы под мангал</t>
  </si>
  <si>
    <t>от кмузова за сварку кубика в баню</t>
  </si>
  <si>
    <t>пруток Ф16 нерж для мангала</t>
  </si>
  <si>
    <t>от Кмузова за эксперименты с гибкой трубы.</t>
  </si>
  <si>
    <t>остаток по Орде</t>
  </si>
  <si>
    <t>от Орехова какой-то сттарый хвост</t>
  </si>
  <si>
    <t>Сергею за резку гибочной оснастки для косточек Кмузхову</t>
  </si>
  <si>
    <t>от Кмузова за оснастку для гибки косточек</t>
  </si>
  <si>
    <t>метизы на мангал</t>
  </si>
  <si>
    <t>о Кмузова аванс из 50К за флетбендер</t>
  </si>
  <si>
    <t>от Кмузова за крбчки из нержи.</t>
  </si>
  <si>
    <t>Сорокину за чертежи флетбендера</t>
  </si>
  <si>
    <t>Глазкову за резку: куски мангала, Кмузову корягогиб и пуговицы</t>
  </si>
  <si>
    <t>Антону за лист дюрали на нанопалец</t>
  </si>
  <si>
    <t xml:space="preserve">сварка какой-то хни </t>
  </si>
  <si>
    <t>от Кмузова за гидрорезку алюминия.</t>
  </si>
  <si>
    <t>Алёне за алюмин для кмузова и дюраль для нанопальца</t>
  </si>
  <si>
    <t>от кмуова за алюмин</t>
  </si>
  <si>
    <t>от сорокина за полбревна</t>
  </si>
  <si>
    <t>от макса за кроны для нивы</t>
  </si>
  <si>
    <t>винты для арамогенератора и стопорные шайбы для мангала</t>
  </si>
  <si>
    <t>от Александра за 8 мистердорсов</t>
  </si>
  <si>
    <t>доставка столика мангального от меня до Фёдора</t>
  </si>
  <si>
    <t>болты для нанопальца и шланг для компрессора</t>
  </si>
  <si>
    <t>винты для нанопальца а антиборща</t>
  </si>
  <si>
    <t>Глазкову за резку и гибку антиборща</t>
  </si>
  <si>
    <t>Глазкову за резку мистер дорз</t>
  </si>
  <si>
    <t>Альберту за крулгяк для корягогиба</t>
  </si>
  <si>
    <t>Антону за металл: труба для мистер дорз и бревно для Рябова</t>
  </si>
  <si>
    <t>от Кмузова второй аванс за корягогиб (20 из 50 получено)</t>
  </si>
  <si>
    <t>От Рябова за квадрат 50х50</t>
  </si>
  <si>
    <t>рымы м24</t>
  </si>
  <si>
    <t>Василию за песочку мангала</t>
  </si>
  <si>
    <t>Валере за покраску мистер дорс</t>
  </si>
  <si>
    <t>учётно, то, что скидывал Ольге на карту с Сервиса</t>
  </si>
  <si>
    <t>аванс из 25 за домик для тридэпринтера</t>
  </si>
  <si>
    <t>металл на домик для тридэпринтера</t>
  </si>
  <si>
    <t>ремонт крана</t>
  </si>
  <si>
    <t>Алёне за резку трёх корягогибов</t>
  </si>
  <si>
    <t>прямая печать на Льдогенератор</t>
  </si>
  <si>
    <t>гравировка стекляшек Ольховскому</t>
  </si>
  <si>
    <t>от Кмузова за алюминиевую трубу</t>
  </si>
  <si>
    <t>от Кмузова за алюминиевую ьрубу второй раз</t>
  </si>
  <si>
    <t>за доработку Вепря</t>
  </si>
  <si>
    <t>сорокин отдал из 6650 за резку корягогиба</t>
  </si>
  <si>
    <t>от Орехова за нанопалец</t>
  </si>
  <si>
    <t>от Орехова за борщеуловители</t>
  </si>
  <si>
    <t>надлог</t>
  </si>
  <si>
    <t>краска для компрессоров Битцер</t>
  </si>
  <si>
    <t>от Сергея аванс на акрил для домика для принтера.</t>
  </si>
  <si>
    <t>Антону за калиброваный пруток для корягогибов и нержу для мангала</t>
  </si>
  <si>
    <t>градусник на мангал</t>
  </si>
  <si>
    <t>от Игоря за проект камина</t>
  </si>
  <si>
    <t>налог за игоря</t>
  </si>
  <si>
    <t>за мистер дорс (по 6900)</t>
  </si>
  <si>
    <t>Юрина доляна за борщеуловитель</t>
  </si>
  <si>
    <t>для биокаминов метизы (сразу же и вернул на карту)</t>
  </si>
  <si>
    <t>наклейки на холодилку</t>
  </si>
  <si>
    <t>акрил +ДСП для домика для принтера</t>
  </si>
  <si>
    <t>сварил вал в коробку</t>
  </si>
  <si>
    <t>от Сергея за домик для тридэпринтера</t>
  </si>
  <si>
    <t>Валере за покраску тридэпринтера и корягогибов</t>
  </si>
  <si>
    <t>Глазкову за панели для кубовки</t>
  </si>
  <si>
    <t>от Дёмкина аванс за два крепления (всего 24К)</t>
  </si>
  <si>
    <t>Валере за покраску цевья</t>
  </si>
  <si>
    <t>за покраску цевья</t>
  </si>
  <si>
    <t>песочка деталей мангала</t>
  </si>
  <si>
    <t>коронки для кубовки</t>
  </si>
  <si>
    <t>съёмник Виха и отвёртки</t>
  </si>
  <si>
    <t>от Кмузова. Кусок за корягогиб. Должен 14350</t>
  </si>
  <si>
    <t>Глазкову за резку Дёмкина</t>
  </si>
  <si>
    <t>винты для мангала</t>
  </si>
  <si>
    <t>Михалычу за УДГ и плакаты</t>
  </si>
  <si>
    <t>от Кмузова. Остаток за корягогиб +3К за сидение.</t>
  </si>
  <si>
    <t xml:space="preserve">Паше за прямую печать на нерже </t>
  </si>
  <si>
    <t>движок для гриндера</t>
  </si>
  <si>
    <t>шкивы и ремни для гриндера</t>
  </si>
  <si>
    <t>винты м5 для кубовки</t>
  </si>
  <si>
    <t>Юра возместил за кубовку</t>
  </si>
  <si>
    <t>проточка хрени для УАЗа</t>
  </si>
  <si>
    <t>от Юры за кубовку</t>
  </si>
  <si>
    <t>за патрубок для уаза</t>
  </si>
  <si>
    <t>фиттинги для уаза</t>
  </si>
  <si>
    <t>шестерни для зиговки</t>
  </si>
  <si>
    <t>рассверлил Вепрю раму</t>
  </si>
  <si>
    <t>работы по прикладу Вепрь</t>
  </si>
  <si>
    <t>от Кмузова аванс за кресла (по 3500 штука)</t>
  </si>
  <si>
    <t>металл на зиговку</t>
  </si>
  <si>
    <t>валы на зиговку</t>
  </si>
  <si>
    <t>частотник на зиговку</t>
  </si>
  <si>
    <t>от Александра за подтумбочки мр.Дорс. 7250 х 6шт = 43500</t>
  </si>
  <si>
    <t>Антону за овальную трубу для Кмузова</t>
  </si>
  <si>
    <t>сварил кусок инвколяски</t>
  </si>
  <si>
    <t>распил на Зиговку, пульт Орехову, проушины на сидения Кмузову, мистердорс</t>
  </si>
  <si>
    <t>метизы на сиденья Кмузову</t>
  </si>
  <si>
    <t>электрошкаф на чпу</t>
  </si>
  <si>
    <t>блоки питания на ЧПУшку</t>
  </si>
  <si>
    <t>электромелочь на ЧПУшку</t>
  </si>
  <si>
    <t>винты на кресла Кмузова</t>
  </si>
  <si>
    <t>от Кмузова за кресла (2500 должен)</t>
  </si>
  <si>
    <t>от Ольховского аванс за бабочки и ключи</t>
  </si>
  <si>
    <t>электрика в щит ЧПУ</t>
  </si>
  <si>
    <t>от кмузова, должен ещё 1500</t>
  </si>
  <si>
    <t>труба на подтумбочники мистер дорс</t>
  </si>
  <si>
    <t>Алёне за резку бабочек и ключей для Ользовского</t>
  </si>
  <si>
    <t>Антону за трубу для мистердорс</t>
  </si>
  <si>
    <t>Гроссххолод зха сборку щитов</t>
  </si>
  <si>
    <t>налрг за гроссхолод</t>
  </si>
  <si>
    <t>от Огнева за кроны</t>
  </si>
  <si>
    <t>лазер на ключи Ольховскому</t>
  </si>
  <si>
    <t>сварка нержавки</t>
  </si>
  <si>
    <t>метчики</t>
  </si>
  <si>
    <t>Валере за покраску Огневу кронштейнов</t>
  </si>
  <si>
    <t>Глазкову за резку кронштейнов для огнева</t>
  </si>
  <si>
    <t>от Ольховского за Лунтиков и 12 ключей</t>
  </si>
  <si>
    <t>от огнева за кроны</t>
  </si>
  <si>
    <t>покраска зиговки</t>
  </si>
  <si>
    <t>пружины на зиговку</t>
  </si>
  <si>
    <t>метизы на зиговку</t>
  </si>
  <si>
    <t>Феде за помощь</t>
  </si>
  <si>
    <t>Русхим за предметные столики</t>
  </si>
  <si>
    <t>налог за русхим</t>
  </si>
  <si>
    <t>шринкер</t>
  </si>
  <si>
    <t>от Лобастова за шпильки.</t>
  </si>
  <si>
    <t>за редуктор</t>
  </si>
  <si>
    <t>Антону за лист алюминия</t>
  </si>
  <si>
    <t xml:space="preserve">шлифкруги </t>
  </si>
  <si>
    <t>от Ольховского аванс за конешкаф и ирис</t>
  </si>
  <si>
    <t>молотки и прощее для листовухи</t>
  </si>
  <si>
    <t>заклёпки</t>
  </si>
  <si>
    <t>Антону за уголок на конешкаф</t>
  </si>
  <si>
    <t>колёса для конешкафа</t>
  </si>
  <si>
    <t>петли для конешкафа</t>
  </si>
  <si>
    <t>от Михаила за сварку телеги и переборку валов для станка</t>
  </si>
  <si>
    <t>замок для конешкафа</t>
  </si>
  <si>
    <t>заклёпки для конешкафа</t>
  </si>
  <si>
    <t>выдвигалки для конешкафа</t>
  </si>
  <si>
    <t>мотор редуктор для зиговки</t>
  </si>
  <si>
    <t>микрометр</t>
  </si>
  <si>
    <t>от Орехова за основание горелок +Юрины деньги</t>
  </si>
  <si>
    <t>налог за Ореховые дениьги</t>
  </si>
  <si>
    <t>Юрины деньги +Юрина доляна за основание горелок</t>
  </si>
  <si>
    <t>доставка завка из Ростова</t>
  </si>
  <si>
    <t>алюминий для конешкафа</t>
  </si>
  <si>
    <t>резец и пластины</t>
  </si>
  <si>
    <t>Глазков резка и гибка каркаса на конешкаф</t>
  </si>
  <si>
    <t>от Игоря за работу над камином</t>
  </si>
  <si>
    <t>от Игоря аванс 50% за второй прототип камина</t>
  </si>
  <si>
    <t>метизы</t>
  </si>
  <si>
    <t>доставка мотора для зиговки</t>
  </si>
  <si>
    <t>Сергею за резку обшивки конешкафа</t>
  </si>
  <si>
    <t>от Игоря остаток за второй камин</t>
  </si>
  <si>
    <t>налог за бабло от Игоря</t>
  </si>
  <si>
    <t>от Дэн Савченко за четыре пластины (всего 4000)</t>
  </si>
  <si>
    <t>за сварку коляски</t>
  </si>
  <si>
    <t>нерж трубка</t>
  </si>
  <si>
    <t>от Шнитко за шкаф</t>
  </si>
  <si>
    <t>Паше за шкаф</t>
  </si>
  <si>
    <t>детекторы упячек</t>
  </si>
  <si>
    <t>налог за детекторы</t>
  </si>
  <si>
    <t>краска чёрная</t>
  </si>
  <si>
    <t>Юре актуатор</t>
  </si>
  <si>
    <t>Антону за лист 0,5 нержи</t>
  </si>
  <si>
    <t>сгоны из нержи</t>
  </si>
  <si>
    <t>проточил какую-то фигню</t>
  </si>
  <si>
    <t>от Ольховского промежуточный аванс</t>
  </si>
  <si>
    <t>резец под шифер</t>
  </si>
  <si>
    <t>винты на колёса нерж</t>
  </si>
  <si>
    <t>алюм 1,5мм</t>
  </si>
  <si>
    <t>алюм 3мм</t>
  </si>
  <si>
    <t>нерж труба для орехова</t>
  </si>
  <si>
    <t>доставка</t>
  </si>
  <si>
    <t>резка и гибка алюмина на конешкаф</t>
  </si>
  <si>
    <t>резка и гибка Юре управления акселлератором</t>
  </si>
  <si>
    <t>разное всякое гибка и резка</t>
  </si>
  <si>
    <t>чертежи полки для Игоря</t>
  </si>
  <si>
    <t>резка и гибка алюминий опоры колёс для конешкафа</t>
  </si>
  <si>
    <t>нержа 1,5мм для юры</t>
  </si>
  <si>
    <t xml:space="preserve">нержа 2мм </t>
  </si>
  <si>
    <t>31.30.21</t>
  </si>
  <si>
    <t>от Юры за маленький пульт, большой пульт и педаль</t>
  </si>
  <si>
    <t>заглушка форсунки</t>
  </si>
  <si>
    <t>Антон за чертёж</t>
  </si>
  <si>
    <t>от Леонида за окантовку фонаря</t>
  </si>
  <si>
    <t>Сингл Кап сварка хреновины</t>
  </si>
  <si>
    <t>Паше остаток за шкаф Шнитко</t>
  </si>
  <si>
    <t>от Цельсия за теплообменник</t>
  </si>
  <si>
    <t xml:space="preserve">налог </t>
  </si>
  <si>
    <t>сварка опоры двигателя</t>
  </si>
  <si>
    <t>за пряжку</t>
  </si>
  <si>
    <t>проточил фигню для харлика</t>
  </si>
  <si>
    <t>крюки нерж, крепёж, всё такое</t>
  </si>
  <si>
    <t>глазкову за резку кронштейна для БДСМ</t>
  </si>
  <si>
    <t>аванс (из 20) за крепление БДСМ</t>
  </si>
  <si>
    <t>БДСМ подвесы</t>
  </si>
  <si>
    <t>Глазкову за гибку нового шпангоута конешкафа</t>
  </si>
  <si>
    <t>от Игоря за новые железки для камина +рендеры</t>
  </si>
  <si>
    <t>налог</t>
  </si>
  <si>
    <t>от Дёмкина за 5 кронштейнов под камеру. Аванс из 30К</t>
  </si>
  <si>
    <t>ленты для пилы себе и Сорокину</t>
  </si>
  <si>
    <t xml:space="preserve">от Сорокина </t>
  </si>
  <si>
    <t>драйверы для ЧПУ</t>
  </si>
  <si>
    <t>клеко себе и Вове</t>
  </si>
  <si>
    <t>резьба на аммортах</t>
  </si>
  <si>
    <t>Ольховский детали конешкафа, Игорь накладка камина и Михаил железяки для упаковки</t>
  </si>
  <si>
    <t>от Игоря за накладку</t>
  </si>
  <si>
    <t>перерезал дюймовые болты</t>
  </si>
  <si>
    <t>Александр Цельсий-Проф за порожек</t>
  </si>
  <si>
    <t>Михаил упаковка, за хреновины для станков.</t>
  </si>
  <si>
    <t>Кислюк за пруток</t>
  </si>
  <si>
    <t>Дёмкин остаток за 5 пронштейнов (по 6К)</t>
  </si>
  <si>
    <t>доставка мозгов для ЧПУ</t>
  </si>
  <si>
    <t>Кирьянов за диски</t>
  </si>
  <si>
    <t>проточил вал</t>
  </si>
  <si>
    <t>пластинки для токарника</t>
  </si>
  <si>
    <t>расточка маслонасоса</t>
  </si>
  <si>
    <t>сверление пластиковых коробок</t>
  </si>
  <si>
    <t>вернул за расточку</t>
  </si>
  <si>
    <t>от Олега за резьбу для книжного пресса</t>
  </si>
  <si>
    <t>гайки нерж для подсмартфонников</t>
  </si>
  <si>
    <t>Антону за трубу для поручня на конешкаф</t>
  </si>
  <si>
    <t>от Игоря за накладку из 430 нержи</t>
  </si>
  <si>
    <t>Глазкову за накладку Игорю, алюминьки для конешкафа</t>
  </si>
  <si>
    <t>запаял трубку</t>
  </si>
  <si>
    <t>выточил переходник</t>
  </si>
  <si>
    <t>от Фёдора аванс за решётки</t>
  </si>
  <si>
    <t>пруток для щеглохранилища</t>
  </si>
  <si>
    <t>сварил трубу Юре</t>
  </si>
  <si>
    <t>Глазкову за оснастку для щеглоклетки, стойки для конешкафа и упоры для максима</t>
  </si>
  <si>
    <t>абразивы для шлифовки щеглоклетки</t>
  </si>
  <si>
    <t>аванс за ремень ДП</t>
  </si>
  <si>
    <t>от Алексея МБР за столик в машину</t>
  </si>
  <si>
    <t>ременные заготовки 6шт</t>
  </si>
  <si>
    <t>оплата за ремень ДП</t>
  </si>
  <si>
    <t xml:space="preserve">доставка абразива </t>
  </si>
  <si>
    <t>аванс за бублик</t>
  </si>
  <si>
    <t>Глазкову аванс за бублики</t>
  </si>
  <si>
    <t>Альберту за полушария</t>
  </si>
  <si>
    <t>от максима за ремонт коляски</t>
  </si>
  <si>
    <t>фрезы с алика</t>
  </si>
  <si>
    <t>Глазкову промаванс за бублики</t>
  </si>
  <si>
    <t>юсб розетки на конешкаф</t>
  </si>
  <si>
    <t>Глазков за нержу, хз на что</t>
  </si>
  <si>
    <t>сверление пластин</t>
  </si>
  <si>
    <t>от Фёдора расчёт за решётки</t>
  </si>
  <si>
    <t>светодиодная лента на конешкаф</t>
  </si>
  <si>
    <t>метизы, свёрла и уголки для светодиодки на конешкаф</t>
  </si>
  <si>
    <t>от Лобастова за оси и проставки</t>
  </si>
  <si>
    <t>остаток за бублик Глазкову</t>
  </si>
  <si>
    <t>от александра аванс за стойку</t>
  </si>
  <si>
    <t>Алёне за гидрорезку пластин</t>
  </si>
  <si>
    <t>Валере за поркаску подстолья Алексей МБР и стеклопакета на Новосиб</t>
  </si>
  <si>
    <t>аванс за стеклопакет на новосиб</t>
  </si>
  <si>
    <t>аккумы милвоки</t>
  </si>
  <si>
    <t>тряпки для подстолья Алексей МБР</t>
  </si>
  <si>
    <t>за стеклопакет и стойки в новосиб (уже чистыми без налога)</t>
  </si>
  <si>
    <t>глазкову аванс за подставку бублика</t>
  </si>
  <si>
    <t>труба нерж для дмитрия тритон</t>
  </si>
  <si>
    <t>всякая хрень для конешкафа резка+гибка</t>
  </si>
  <si>
    <t>за гидродетальки</t>
  </si>
  <si>
    <t>шары нерж</t>
  </si>
  <si>
    <t>заглушки нерж</t>
  </si>
  <si>
    <t>Валере за покраску велобагажника для Димы Тритон</t>
  </si>
  <si>
    <t xml:space="preserve"> разгрузка бублика</t>
  </si>
  <si>
    <t>пескоструй купил</t>
  </si>
  <si>
    <t>труба 50х50 нерж на бублик</t>
  </si>
  <si>
    <t>от Димы тритон за велобагажник</t>
  </si>
  <si>
    <t>фиксаторы нерж</t>
  </si>
  <si>
    <t>глазкову за фиксаторы</t>
  </si>
  <si>
    <t>шланги для пескоструйки</t>
  </si>
  <si>
    <t>концевики на конешкаф</t>
  </si>
  <si>
    <t>вытяжные заклёпки +винты на конешкаф</t>
  </si>
  <si>
    <t>остаток за фиговины для электровелика</t>
  </si>
  <si>
    <t>егору за помощь 2 дня</t>
  </si>
  <si>
    <t>от александра остаок за бублик</t>
  </si>
  <si>
    <t>Глазкову за инфостенды</t>
  </si>
  <si>
    <t>Глазкову остаток за стойку для бублика</t>
  </si>
  <si>
    <t>оснаска для резьбовой заклёпки на конешкаф</t>
  </si>
  <si>
    <t>краска чёрная на основание бублика</t>
  </si>
  <si>
    <t>болты на бублик</t>
  </si>
  <si>
    <t>за толкатели</t>
  </si>
  <si>
    <t>Глазкову за забор бублика</t>
  </si>
  <si>
    <t>Валере за трубу на подставку для бублика</t>
  </si>
  <si>
    <t>просверлил какую-то херню</t>
  </si>
  <si>
    <t>от Антона за 3 пряжки</t>
  </si>
  <si>
    <t>всякая хрень для кожи</t>
  </si>
  <si>
    <t>метизы на монтаж в Кемерово</t>
  </si>
  <si>
    <t>шлифка на монтаж в Кемерово</t>
  </si>
  <si>
    <t>абразив Вове и на монтаж в Кемерово</t>
  </si>
  <si>
    <t>Валере за помощь по бублику</t>
  </si>
  <si>
    <t>от Александра за бублик</t>
  </si>
  <si>
    <t>от Александра за бублик на физло пришло</t>
  </si>
  <si>
    <t>от Александра живыми в Кемерово</t>
  </si>
  <si>
    <t>командировка</t>
  </si>
  <si>
    <t>Максу</t>
  </si>
  <si>
    <t>от Лобастова за муфты</t>
  </si>
  <si>
    <t>проточил что-то</t>
  </si>
  <si>
    <t>александр закрылся по бублику</t>
  </si>
  <si>
    <t>аларм-про за поручни (из 44К)</t>
  </si>
  <si>
    <t>Валере за покраску инфостендов</t>
  </si>
  <si>
    <t>нержа на поручни аларм про</t>
  </si>
  <si>
    <t>лазер купил</t>
  </si>
  <si>
    <t>проточка дисков для Доджа</t>
  </si>
  <si>
    <t>труба нерж на поручень Якиманка</t>
  </si>
  <si>
    <t>мостовики-затейники какой-то кронштейн</t>
  </si>
  <si>
    <t>от Андрея за два поднаушника</t>
  </si>
  <si>
    <t>купил лазер</t>
  </si>
  <si>
    <t>за резку трубы и шпилек</t>
  </si>
  <si>
    <t>от Аларм про за поручни на якиманку</t>
  </si>
  <si>
    <t>за пруток на щеглохранилище</t>
  </si>
  <si>
    <t>Сорокину за петли</t>
  </si>
  <si>
    <t>от Фёдора за петли +переделка решёток</t>
  </si>
  <si>
    <t>какую-то хрень просверлил</t>
  </si>
  <si>
    <t>проточка дифференциала дискавери</t>
  </si>
  <si>
    <t>проточка диффа дискавери доделка</t>
  </si>
  <si>
    <t>кулаки для инвалидной коляски</t>
  </si>
  <si>
    <t>доработка инв.коляски</t>
  </si>
  <si>
    <t>от Паши аванс за 8 инфостендов (из 160) (50 мне, 50 Ольге)</t>
  </si>
  <si>
    <t>наконечникаи для горелки</t>
  </si>
  <si>
    <t>кембрик для конешкафа и стяжки</t>
  </si>
  <si>
    <t>от Паши за табличку</t>
  </si>
  <si>
    <t>Сергею за дорезку двух инфостендов</t>
  </si>
  <si>
    <t>на кожу</t>
  </si>
  <si>
    <t>на палку за ремень Олегу в Штаты</t>
  </si>
  <si>
    <t>от Паши за инфостенды</t>
  </si>
  <si>
    <t>Валере за инфостенды</t>
  </si>
  <si>
    <t>какой-то шкив точнул</t>
  </si>
  <si>
    <t>от Акулыча за неруж</t>
  </si>
  <si>
    <t>Глазкову за нержу</t>
  </si>
  <si>
    <t>сделал какой-то болт</t>
  </si>
  <si>
    <t>МИСИС</t>
  </si>
  <si>
    <t>Юрина доля за МИСИС</t>
  </si>
  <si>
    <t>от Акулыча за сварку нержи</t>
  </si>
  <si>
    <t>от Орехова за доработку нанопальца</t>
  </si>
  <si>
    <t>сварил магистраль для трактора\</t>
  </si>
  <si>
    <t>винты нерж на араногенератор</t>
  </si>
  <si>
    <t>винты нерж на арамогенератор</t>
  </si>
  <si>
    <t>лампы и стартеры</t>
  </si>
  <si>
    <t>за сверление пластинок</t>
  </si>
  <si>
    <t>фаскосниматель и пластинки</t>
  </si>
  <si>
    <t>шлифовальная расходка на конешкаф</t>
  </si>
  <si>
    <t>Глазкову за железячки на конешкаф</t>
  </si>
  <si>
    <t>ремень PJ</t>
  </si>
  <si>
    <t>металл на шкивы и просто</t>
  </si>
  <si>
    <t>аванс за шкивы (из 12 +металл)</t>
  </si>
  <si>
    <t>от Кирьянова за гидрорезку чугуна</t>
  </si>
  <si>
    <t>за шкивы</t>
  </si>
  <si>
    <t>от Ольховского промаванс за конешкаф</t>
  </si>
  <si>
    <t>Алёне за резку чугуна</t>
  </si>
  <si>
    <t>от Юры за шильдики</t>
  </si>
  <si>
    <t>Гохе за помощь</t>
  </si>
  <si>
    <t>за сварку и проточку клапанов</t>
  </si>
  <si>
    <t>в Элион аванс за коврики в конешкаф</t>
  </si>
  <si>
    <t>аванс за два мистердорса</t>
  </si>
  <si>
    <t>новая цифровая линейка</t>
  </si>
  <si>
    <t>Глазкову за нарезку для мистердорсов</t>
  </si>
  <si>
    <t>отправка шкивов</t>
  </si>
  <si>
    <t>Акулыч какие-то проставки</t>
  </si>
  <si>
    <t>от Кирьянова за диски</t>
  </si>
  <si>
    <t>Боре за помощь с компрессорами</t>
  </si>
  <si>
    <t>цанга Ф20</t>
  </si>
  <si>
    <t>шлифдиски на конешкаф</t>
  </si>
  <si>
    <t>аванс от Ивацевича за 3 комплекта пластин и 1 коробку для контроллера</t>
  </si>
  <si>
    <t>Глазкову за резку Ивацевича</t>
  </si>
  <si>
    <t>от Паши за квадрат</t>
  </si>
  <si>
    <t>Антону за квадрат для Паши и сорокинский металл</t>
  </si>
  <si>
    <t>за ось для колеса тачки</t>
  </si>
  <si>
    <t>от Сорокина за металл</t>
  </si>
  <si>
    <t>от Михаила за подрезку железок от конвейера</t>
  </si>
  <si>
    <t>краска на конешкаф</t>
  </si>
  <si>
    <t>цанги на алике</t>
  </si>
  <si>
    <t>от Ивацевича</t>
  </si>
  <si>
    <t>аванс за выставку от Фёдора</t>
  </si>
  <si>
    <t>глазкову за пятаки для фёдора</t>
  </si>
  <si>
    <t>от  Михаила за хуйнюшки для станка</t>
  </si>
  <si>
    <t>резка профтрубы</t>
  </si>
  <si>
    <t>болт левый</t>
  </si>
  <si>
    <t>Глазкову за резку херни для джойстика</t>
  </si>
  <si>
    <t>от Рускон</t>
  </si>
  <si>
    <t>точнул удлинитель резца</t>
  </si>
  <si>
    <t>сварка торсионов</t>
  </si>
  <si>
    <t>от Ивацевича аванс за нержу</t>
  </si>
  <si>
    <t>за сварку какой то жбони</t>
  </si>
  <si>
    <t>глазкову за ивацевича и железяку на вологду</t>
  </si>
  <si>
    <t>Ольховский конешкаф</t>
  </si>
  <si>
    <t>От Ивацевича</t>
  </si>
  <si>
    <t>шлифдиски</t>
  </si>
  <si>
    <t>от Градусника за Вологду</t>
  </si>
  <si>
    <t>Юрина доляна за Арама</t>
  </si>
  <si>
    <t>Юрина доляна за Вологду</t>
  </si>
  <si>
    <t>1\2 за аренду сарая</t>
  </si>
  <si>
    <t>от Сергея гидравлика за ремонт гидроблока</t>
  </si>
  <si>
    <t>за шайбы с фрезеровкой</t>
  </si>
  <si>
    <t>от Ивацевича за коробку для Кинко</t>
  </si>
  <si>
    <t>Кислюку за пруток ф10мм</t>
  </si>
  <si>
    <t>расточная головка</t>
  </si>
  <si>
    <t>Таском за джойстик</t>
  </si>
  <si>
    <t>Юстус за панели</t>
  </si>
  <si>
    <t>Глазков за резку бинтомота, ивацевича кинки и консолей вентилятора</t>
  </si>
  <si>
    <t>Саше за помощь с плоскошлифом</t>
  </si>
  <si>
    <t>краска на вологду</t>
  </si>
  <si>
    <t>мелочи в автомагазине</t>
  </si>
  <si>
    <t>подшипники на шпиндель</t>
  </si>
  <si>
    <t>краска на плоскошлиф</t>
  </si>
  <si>
    <t>валики на плоскошлиф</t>
  </si>
  <si>
    <t>печка прокалочная</t>
  </si>
  <si>
    <t>оправки для плоскошлифа</t>
  </si>
  <si>
    <t>от градусника за кроны для вентилятора</t>
  </si>
  <si>
    <t>подшипники на бинтомоты</t>
  </si>
  <si>
    <t>виброопоры на плоскошлиф</t>
  </si>
  <si>
    <t>доставка оправки на плоскошлиф</t>
  </si>
  <si>
    <t>от Ольховскоо за бинтомоты</t>
  </si>
  <si>
    <t>доставка виброопор</t>
  </si>
  <si>
    <t>шильды градусник, лазер на панель градусник и мои таблички</t>
  </si>
  <si>
    <t>Иван Дёмкин аванс за опоры камеры из 59000</t>
  </si>
  <si>
    <t>аванс за резцедержатель</t>
  </si>
  <si>
    <t>металл на резцедержатель</t>
  </si>
  <si>
    <t>Валере за покраску ноги штатива Дёмкина</t>
  </si>
  <si>
    <t>остаток от Дёмкина (большие кроны по 12, маленькие по 6 и 3К нога для штатива)</t>
  </si>
  <si>
    <t>от Александра за оправку для резца</t>
  </si>
  <si>
    <t>переходник на фрезу</t>
  </si>
  <si>
    <t>скобы со шлицевым отверстием резка эрозией</t>
  </si>
  <si>
    <t>валы для Юрия Типография</t>
  </si>
  <si>
    <t>от Фёдора за крепления выставки</t>
  </si>
  <si>
    <t>Александр переходник на мультификс</t>
  </si>
  <si>
    <t>от Градусника за ВОМЗ</t>
  </si>
  <si>
    <t>налог за градусник</t>
  </si>
  <si>
    <t>сварка поддона вольво</t>
  </si>
  <si>
    <t>от Артёма за 2 поручня.</t>
  </si>
  <si>
    <t>ось для машинки</t>
  </si>
  <si>
    <t>труба на поручни</t>
  </si>
  <si>
    <t>от Михаила за сварку</t>
  </si>
  <si>
    <t>аванс за загородку</t>
  </si>
  <si>
    <t>Серёге за погрузчик</t>
  </si>
  <si>
    <t>металл на оградку и поручни</t>
  </si>
  <si>
    <t>круглошлифовальная приблуда</t>
  </si>
  <si>
    <t>доставка приблуды</t>
  </si>
  <si>
    <t>Глазкову за резку ложементов для Фёдора и подпятников на оградку</t>
  </si>
  <si>
    <t>провод и вилки</t>
  </si>
  <si>
    <t>Ольховскому акриловый прут</t>
  </si>
  <si>
    <t>диски пильные метчики</t>
  </si>
  <si>
    <t>остаток за оградку</t>
  </si>
  <si>
    <t>Ольховский аванс за ракеты</t>
  </si>
  <si>
    <t>Александр аванс за пластины</t>
  </si>
  <si>
    <t>проточил трубу для велосипеда</t>
  </si>
  <si>
    <t>отрезал нож и что-то ещё</t>
  </si>
  <si>
    <t>от Кирьянова аванс за гидрорезку</t>
  </si>
  <si>
    <t>частотник на плоскошлиф</t>
  </si>
  <si>
    <t>светодиоды Ольховскому.</t>
  </si>
  <si>
    <t xml:space="preserve">от Артёма за оградки </t>
  </si>
  <si>
    <t>Валере за покраску оградок.</t>
  </si>
  <si>
    <t>изопропиловый спирт, метчики для кирьянова</t>
  </si>
  <si>
    <t>подшипники для кирьянова</t>
  </si>
  <si>
    <t>Алёне за гидрорезку Александра и Кирьянова</t>
  </si>
  <si>
    <t>Глазкову за резку александра, кирьянова, ольховского и полочек под фрезер</t>
  </si>
  <si>
    <t>вернул Ольховскому аванс за ракеты</t>
  </si>
  <si>
    <t>типография за валы</t>
  </si>
  <si>
    <t>Ольховский аопять скинул аванс на лампы</t>
  </si>
  <si>
    <t>аренда декабрь</t>
  </si>
  <si>
    <t>пруток ф12</t>
  </si>
  <si>
    <t>от Кирилла типография за валы</t>
  </si>
  <si>
    <t>от Кирилла за сварку торсиона</t>
  </si>
  <si>
    <t>от Александра за плиты</t>
  </si>
  <si>
    <t>за проставку</t>
  </si>
  <si>
    <t>от Ольховского за допиливание шкафа</t>
  </si>
  <si>
    <t>аванс за давилки для кофе</t>
  </si>
  <si>
    <t>от Семёна аванс 50% за крючки</t>
  </si>
  <si>
    <t>от Глеба (Кофе) остаток за давилки для кофе</t>
  </si>
  <si>
    <t>от Глеба аванс за воронку (из 11К)</t>
  </si>
  <si>
    <t>от Кирьянова остаток за доработку деталей</t>
  </si>
  <si>
    <t>пруток на крбчки</t>
  </si>
  <si>
    <t>Глазкову за резку остатка Фёдора-выставки, Кирьянову корпус, воронку Глебу, фланцы на крючки Семёну</t>
  </si>
  <si>
    <t>от Глеба за воронку</t>
  </si>
  <si>
    <t>Валере за покраску крбчков Семёна и корпуса Кирьянова</t>
  </si>
  <si>
    <t>за сварку какой-то шляпы</t>
  </si>
  <si>
    <t>от Семёна за крючки</t>
  </si>
  <si>
    <t>от Натальи за венчик от миксера</t>
  </si>
  <si>
    <t>сварка радиатора</t>
  </si>
  <si>
    <t>замки для ракет +саморезы для Семёна</t>
  </si>
  <si>
    <t>от Кирилла (типография) за 3 вала</t>
  </si>
  <si>
    <t>от Фёдора за выставку.</t>
  </si>
  <si>
    <t>за переупаковку керамики от Алексея</t>
  </si>
  <si>
    <t>от Кирилла за ремонт толстого вала</t>
  </si>
  <si>
    <t>Кислюку за прутки Ф12</t>
  </si>
  <si>
    <t>Глазкову за резку Александра, железо на 21НИИ, на венчик</t>
  </si>
  <si>
    <t>от Кирилла за 3 вала</t>
  </si>
  <si>
    <t>от Александра за каретку для станка</t>
  </si>
  <si>
    <t>Глазкову за вал</t>
  </si>
  <si>
    <t>Валере за покрасту подтумбочек мистер дорс</t>
  </si>
  <si>
    <t>всякая мелочь</t>
  </si>
  <si>
    <t>проточка валов</t>
  </si>
  <si>
    <t>шлифдиски на плоскошлиф</t>
  </si>
  <si>
    <t>песочка ракет</t>
  </si>
  <si>
    <t>фрещза</t>
  </si>
  <si>
    <t>от Кирьянова за корпус намотчика, трубу намотчика и проточку трубы кристаллизатора</t>
  </si>
  <si>
    <t>от кирьянова аванс за раму</t>
  </si>
  <si>
    <t>шайбы регулировочные</t>
  </si>
  <si>
    <t>фрезеровка каикх-то карманов</t>
  </si>
  <si>
    <t>от Юры за аренду январь</t>
  </si>
  <si>
    <t>аренда янв</t>
  </si>
  <si>
    <t>электричество декабрь.</t>
  </si>
  <si>
    <t>Кирьянов проточка трубы +барабанчик для свинца</t>
  </si>
  <si>
    <t>Ольховский промаванс за ракеты</t>
  </si>
  <si>
    <t>123 блоки</t>
  </si>
  <si>
    <t>Ольховский матовая палка</t>
  </si>
  <si>
    <t>Валере за покраску ракет</t>
  </si>
  <si>
    <t>краска на ракеты</t>
  </si>
  <si>
    <t>клёпки на ракеты, шланг на плоскошлиф, лампы для плоскошлифа</t>
  </si>
  <si>
    <t>электрофигня на ракеты</t>
  </si>
  <si>
    <t>Гохе за шлифдиски</t>
  </si>
  <si>
    <t>сварил кастрюлю</t>
  </si>
  <si>
    <t>о Ольховского за ракеты</t>
  </si>
  <si>
    <t>от Александра за штурвальчик и два болта,</t>
  </si>
  <si>
    <t>Глазкову за резку на Кирьянова и Александра</t>
  </si>
  <si>
    <t>сварил батут</t>
  </si>
  <si>
    <t>ремонт конуса Глеб</t>
  </si>
  <si>
    <t>сварил коляску</t>
  </si>
  <si>
    <t>железо из прутков</t>
  </si>
  <si>
    <t>свёрла</t>
  </si>
  <si>
    <t>Павел аванс за козырёк из 54К</t>
  </si>
  <si>
    <t>Кирьянов ремонт головки кристаллизатора</t>
  </si>
  <si>
    <t>угловая приставка</t>
  </si>
  <si>
    <t>Глазков за резку жетонов Ольховского, жетонов радиста, пульта на плоскошлиф и железа на Кирьянова и на козырёк нержа</t>
  </si>
  <si>
    <t>Глазков за сварку полубублика Александру</t>
  </si>
  <si>
    <t>сварка генератора военным</t>
  </si>
  <si>
    <t>ремонт вала куры гриль</t>
  </si>
  <si>
    <t>остаток за козырёк</t>
  </si>
  <si>
    <t>доставка магнитной плиты из Белки</t>
  </si>
  <si>
    <t>от Серёги за нож полиграфический на листогиб</t>
  </si>
  <si>
    <t>от Макса за 2 шаблона</t>
  </si>
  <si>
    <t>Юра, аренда февр</t>
  </si>
  <si>
    <t>Глазков, шаблоны Максу, напил на Геркулес</t>
  </si>
  <si>
    <t>Валера покраска Кирьянова и козырька</t>
  </si>
  <si>
    <t>Альберту за трубу на козырёк</t>
  </si>
  <si>
    <t>Ласткап ремонт шнека</t>
  </si>
  <si>
    <t>доставка подноса на токарный</t>
  </si>
  <si>
    <t>цепочки для медальонов Ольховского</t>
  </si>
  <si>
    <t>от Саши за сварку оградки бублика</t>
  </si>
  <si>
    <t>аренда февр</t>
  </si>
  <si>
    <t>доставка цепочек</t>
  </si>
  <si>
    <t>от Кирилла за 26 упоров и 2 планки</t>
  </si>
  <si>
    <t>от Кирьянова за болты и гайки</t>
  </si>
  <si>
    <t>балллон под пропан</t>
  </si>
  <si>
    <t>заправка пропана</t>
  </si>
  <si>
    <t>сварка барабана стиралки</t>
  </si>
  <si>
    <t>Кирьянов грибок центровочный</t>
  </si>
  <si>
    <t>нержа на грипсы</t>
  </si>
  <si>
    <t>Константин аванс из 50 за проектирование мебели</t>
  </si>
  <si>
    <t>за грипсы</t>
  </si>
  <si>
    <t>от Кирилла типография за вал</t>
  </si>
  <si>
    <t>алог</t>
  </si>
  <si>
    <t>Ольховский за медальоны</t>
  </si>
  <si>
    <t>Градус аванс за холодилку Геркулес</t>
  </si>
  <si>
    <t>сварка барабана стиралки ещё раз</t>
  </si>
  <si>
    <t>проточка торм дисков</t>
  </si>
  <si>
    <t>валере за лист 3мм нерж</t>
  </si>
  <si>
    <t>сварка крюка</t>
  </si>
  <si>
    <t>от Фёдора за подставку из нержи</t>
  </si>
  <si>
    <t>Альберту за трубу для Паши</t>
  </si>
  <si>
    <t>аренда март</t>
  </si>
  <si>
    <t>болты типография, гайки, шлифдиски</t>
  </si>
  <si>
    <t>петли на электрошкаф Кирьянов</t>
  </si>
  <si>
    <t>болты на Кирьянова, стрейч</t>
  </si>
  <si>
    <t>болты нерж на вентиляторы</t>
  </si>
  <si>
    <t xml:space="preserve">болты в асс. </t>
  </si>
  <si>
    <t>Андрей за пальцы для рохли</t>
  </si>
  <si>
    <t>электричество февраль</t>
  </si>
  <si>
    <t>от Паши за струбцины</t>
  </si>
  <si>
    <t>строгальник</t>
  </si>
  <si>
    <t>аванс за детекторы</t>
  </si>
  <si>
    <t>от Кости за проект мебели</t>
  </si>
  <si>
    <t>от Михаила за направляющие</t>
  </si>
  <si>
    <t>от Михаила за направлябщие</t>
  </si>
  <si>
    <t>хомуты на ДФУ</t>
  </si>
  <si>
    <t>от Александра за 2 подставки для тумбочек</t>
  </si>
  <si>
    <t>Глазкову за резку под тумбочки</t>
  </si>
  <si>
    <t>маслонасос</t>
  </si>
  <si>
    <t>металл на стом.тумбы</t>
  </si>
  <si>
    <t>Валере за покраску и перевозку Кирьянова</t>
  </si>
  <si>
    <t>Андрей (Альфадом) за 4 съёмника</t>
  </si>
  <si>
    <t>ремень и прочая мелочь на строгач</t>
  </si>
  <si>
    <t>ремень, трубка на строгач</t>
  </si>
  <si>
    <t>винт на строгач</t>
  </si>
  <si>
    <t>от Фёдора за центровочные шайбы</t>
  </si>
  <si>
    <t>валере за отвоз листов на хомуты</t>
  </si>
  <si>
    <t>Глазкову аванс из 118,7К</t>
  </si>
  <si>
    <t>всякие инструменты</t>
  </si>
  <si>
    <t>от Михаила за переделку натяжителя плёнки</t>
  </si>
  <si>
    <t>ремень и трубка для строгача</t>
  </si>
  <si>
    <t>возврат за неправильные метчики</t>
  </si>
  <si>
    <t>глазкову за резку хомутов</t>
  </si>
  <si>
    <t>за колонны для микроскопа аванс</t>
  </si>
  <si>
    <t>от бориса за проточку нагревателей</t>
  </si>
  <si>
    <t>Егору за помощь</t>
  </si>
  <si>
    <t>доставка винтов на строгач</t>
  </si>
  <si>
    <t>проточка колёс</t>
  </si>
  <si>
    <t>за подставки мистер дорс (2 штуки, общая стоимость 22800)</t>
  </si>
  <si>
    <t>Алёне за резку Кирьянова и колонн для микроскопа</t>
  </si>
  <si>
    <t>металл на колонны</t>
  </si>
  <si>
    <t>альфадом проточка колёс</t>
  </si>
  <si>
    <t>от Евгения за расточку формы</t>
  </si>
  <si>
    <t>альфадом за проточку колёс</t>
  </si>
  <si>
    <t>степ-сервис сварка двух шестов для куры гриль</t>
  </si>
  <si>
    <t>Юстус сервис за покраску колонн и винтик</t>
  </si>
  <si>
    <t>кофепод за проточку утюгов +баолванка из бронзы (за болванку отдал руками Вячеславу)</t>
  </si>
  <si>
    <t>Юстус сервис остаток за колонны</t>
  </si>
  <si>
    <t>от Фёдора за две направляющих</t>
  </si>
  <si>
    <t>сорокину за детекторы</t>
  </si>
  <si>
    <t>Егору и Фёдору за помощь</t>
  </si>
  <si>
    <t>алмазный диск</t>
  </si>
  <si>
    <t>от Кирьянова за резку железяк</t>
  </si>
  <si>
    <t>за сварку какой-то хни</t>
  </si>
  <si>
    <t>Паше за бирки, печать чертежа и УФ панель для Кирьянова</t>
  </si>
  <si>
    <t>аванс за зуборез</t>
  </si>
  <si>
    <t>Кофепод за 3 утюга</t>
  </si>
  <si>
    <t>винт на строгач левый</t>
  </si>
  <si>
    <t>аренда апрель</t>
  </si>
  <si>
    <t>видроопоры на строгач</t>
  </si>
  <si>
    <t>металл на кран</t>
  </si>
  <si>
    <t>заправка баллона</t>
  </si>
  <si>
    <t>газбаллон, редуктор и т.д.</t>
  </si>
  <si>
    <t>вязальная проволока</t>
  </si>
  <si>
    <t>электричество март</t>
  </si>
  <si>
    <t>типография изготовление вала</t>
  </si>
  <si>
    <t>степ-сервис ремонт вала</t>
  </si>
  <si>
    <t>кислюку за трубку 12х1,5 для лампы ольховского</t>
  </si>
  <si>
    <t>деду за твердосплав</t>
  </si>
  <si>
    <t>Денис типография за скобки</t>
  </si>
  <si>
    <t>остаток за детекторы</t>
  </si>
  <si>
    <t xml:space="preserve">Юстус аванс за держалку </t>
  </si>
  <si>
    <t>Степ-сервис за изготовление вала</t>
  </si>
  <si>
    <t>от Александра деревянный чпу за центрирующую фигню для черенка</t>
  </si>
  <si>
    <t>от Кирьянова за ремонт одного фланца и аванс 3К за второй</t>
  </si>
  <si>
    <t>от Ольховского за ремонт лампы</t>
  </si>
  <si>
    <t>электрика на ремонт лампы ольховского</t>
  </si>
  <si>
    <t>Кислюку за латунный дрын</t>
  </si>
  <si>
    <t>пфаутер</t>
  </si>
  <si>
    <t>валере за довозку</t>
  </si>
  <si>
    <t>шпилька на стоматологическую подставку</t>
  </si>
  <si>
    <t>труба на стом.подставку</t>
  </si>
  <si>
    <t>провод и вилка на пфаутер</t>
  </si>
  <si>
    <t>Ольховский: бошки компрессора, пень</t>
  </si>
  <si>
    <t>вал на зубача</t>
  </si>
  <si>
    <t>фреза модульная</t>
  </si>
  <si>
    <t>Алёне за резку на стоматологию</t>
  </si>
  <si>
    <t>червячная фреза</t>
  </si>
  <si>
    <t>за резку конусов и шаблонов от Игоря</t>
  </si>
  <si>
    <t>Славина доляна за детекторы</t>
  </si>
  <si>
    <t>Глазкову за конусы и диск делительный</t>
  </si>
  <si>
    <t>модульная фреза 1,5</t>
  </si>
  <si>
    <t>Валере за покраску коряг стоматологических</t>
  </si>
  <si>
    <t>Лёхе за всякую хренотень</t>
  </si>
  <si>
    <t>точнул заглушку на компрессор и присадил пневмодатчик.</t>
  </si>
  <si>
    <t>четыре виброопоры</t>
  </si>
  <si>
    <t>ремонт катушки для кофейников</t>
  </si>
  <si>
    <t>Юстус-сервис за сборку</t>
  </si>
  <si>
    <t>Юстус-сервис остаток за подвес света</t>
  </si>
  <si>
    <t>Юстус-сервис за перекраску</t>
  </si>
  <si>
    <t>от Александра за диски</t>
  </si>
  <si>
    <t>Глазкову за резку на Александра, Ольховского и что-то ещё</t>
  </si>
  <si>
    <t>заварил радиатор</t>
  </si>
  <si>
    <t>фрезы для бельгийских утюгов</t>
  </si>
  <si>
    <t>от Кирьянова за проточку дисков окаточных и ремонт плиты кристаллизатора</t>
  </si>
  <si>
    <t>Сингл кап за утюг на чпу</t>
  </si>
  <si>
    <t>типография за ремонт вала</t>
  </si>
  <si>
    <t>труба на седловоз</t>
  </si>
  <si>
    <t>Степ-сервис за ремонт ролика от транспортёра</t>
  </si>
  <si>
    <t>типография за ремонт двигателя</t>
  </si>
  <si>
    <t>аренда май</t>
  </si>
  <si>
    <t>за газ</t>
  </si>
  <si>
    <t>сорокин за газ</t>
  </si>
  <si>
    <t>валере за покраску коневоза</t>
  </si>
  <si>
    <t>От Ольховского за седловоз</t>
  </si>
  <si>
    <t>электричество апрель</t>
  </si>
  <si>
    <t>электрика в гараж</t>
  </si>
  <si>
    <t>ремонт вала</t>
  </si>
  <si>
    <t>полотна для ленточки, огнепреградители</t>
  </si>
  <si>
    <t>глазкову за накладку для Фёдора</t>
  </si>
  <si>
    <t>синглкап за утюг и проектирование пульта</t>
  </si>
  <si>
    <t>синглкап аванс за пульт</t>
  </si>
  <si>
    <t>фёдор за накладку для кухни</t>
  </si>
  <si>
    <t>кирьянов за конусную шайбу, доработку роторного ножа и свёрла</t>
  </si>
  <si>
    <t>глазкову за резку синглкап консоль</t>
  </si>
  <si>
    <t>егору за компорты на консоль</t>
  </si>
  <si>
    <t>металл из прутков на консоль</t>
  </si>
  <si>
    <t>сверло и что-то ещё</t>
  </si>
  <si>
    <t>тисочки</t>
  </si>
  <si>
    <t>металл на синглкап</t>
  </si>
  <si>
    <t>аванс за латунную шайбу</t>
  </si>
  <si>
    <t>возврат из всеинструменты</t>
  </si>
  <si>
    <t>типография за присоски и пайку</t>
  </si>
  <si>
    <t>ИС Сервис аванс из 66 000 за 10 подсмартфонников</t>
  </si>
  <si>
    <t>что-то во всеинстр</t>
  </si>
  <si>
    <t>от сорокина за ленту</t>
  </si>
  <si>
    <t>Валере за покраску консоли синглкап</t>
  </si>
  <si>
    <t>сварка и покраска стула</t>
  </si>
  <si>
    <t>патрон на алике</t>
  </si>
  <si>
    <t>винты на консоль синглкап</t>
  </si>
  <si>
    <t>Ивацевич за корпус контроллера и корпус ЧМИ</t>
  </si>
  <si>
    <t>Степ-сервиз за вал +расточку муфты</t>
  </si>
  <si>
    <t>авито за объявление</t>
  </si>
  <si>
    <t>всеинструменты</t>
  </si>
  <si>
    <t>провод</t>
  </si>
  <si>
    <t>Глазкову за резку панелей для Фёдора, Ивацевича и подсмартфонников</t>
  </si>
  <si>
    <t>от Кирьянова за проточку диска</t>
  </si>
  <si>
    <t>лента на пилу и фрезочка</t>
  </si>
  <si>
    <t>ручные тиски</t>
  </si>
  <si>
    <t>Фёдор накладки 3шт</t>
  </si>
  <si>
    <t>Синглкап за консоль</t>
  </si>
  <si>
    <t>Аренда июнь</t>
  </si>
  <si>
    <t>винтики нерж</t>
  </si>
  <si>
    <t>электричество май</t>
  </si>
  <si>
    <t>шпилька нерж</t>
  </si>
  <si>
    <t>сварил стул</t>
  </si>
  <si>
    <t>Кирьянов колесо-выталкиватель, фрезеровка паза</t>
  </si>
  <si>
    <t>сварил поддон</t>
  </si>
  <si>
    <t>воск либерон</t>
  </si>
  <si>
    <t>что-то во ВИ</t>
  </si>
  <si>
    <t>аванс за станок от Лоджикруф</t>
  </si>
  <si>
    <t>ремонт алмазной бурилки</t>
  </si>
  <si>
    <t>1\4 оплаты за электромотор на осциль</t>
  </si>
  <si>
    <t>камни на плоскошлиф</t>
  </si>
  <si>
    <t>Володе за резку Кирьянову спирали, синглкап мешалки и осцилляторный станок</t>
  </si>
  <si>
    <t>за пайку ключей</t>
  </si>
  <si>
    <t>за шлифовку резиновых дисков</t>
  </si>
  <si>
    <t>Кирьянов за диски +раздрачивание дырок на секторном ноже</t>
  </si>
  <si>
    <t>фреза для звёздочек</t>
  </si>
  <si>
    <t>Синглкап крышечки для пневмозахвата, ремонт мешалок, 2 новые мешалки</t>
  </si>
  <si>
    <t>запаял самогонный аппарат</t>
  </si>
  <si>
    <t>металл для Паши</t>
  </si>
  <si>
    <t>Александр деревянный чпу за всякую хню</t>
  </si>
  <si>
    <t>Роман, аванс 50% за каркас</t>
  </si>
  <si>
    <t>ИС сервис остаток за 10 подсмартфонников</t>
  </si>
  <si>
    <t>Алёне за резку Паше</t>
  </si>
  <si>
    <t>от Паши</t>
  </si>
  <si>
    <t>отливы</t>
  </si>
  <si>
    <t>металл на каркас</t>
  </si>
  <si>
    <t>сварка коллектора</t>
  </si>
  <si>
    <t>приварной пистолет</t>
  </si>
  <si>
    <t>болгарка и мелочи</t>
  </si>
  <si>
    <t>Кирьянов за 3 шкива</t>
  </si>
  <si>
    <t>для акулыча дюраль</t>
  </si>
  <si>
    <t xml:space="preserve">фрезы </t>
  </si>
  <si>
    <t>ИП Кортунов за два подставки</t>
  </si>
  <si>
    <t>Сергей ремонт резиновых блинов</t>
  </si>
  <si>
    <t>Акулыч пластины</t>
  </si>
  <si>
    <t>два ключа</t>
  </si>
  <si>
    <t>за резку ольховского, подставки, ключи</t>
  </si>
  <si>
    <t>Ольховский бандаж на зонт</t>
  </si>
  <si>
    <t>мотор на осциллятор</t>
  </si>
  <si>
    <t xml:space="preserve">юстус </t>
  </si>
  <si>
    <t>юстус за переделку консоли</t>
  </si>
  <si>
    <t>аванс за полочку</t>
  </si>
  <si>
    <t>за полочку</t>
  </si>
  <si>
    <t>частотник</t>
  </si>
  <si>
    <t>Сергей гидравлика, сварка +заточка свёрл</t>
  </si>
  <si>
    <t>степ-сервис за 13 кронштейнов</t>
  </si>
  <si>
    <t>ивацевиц за 2 комплекта контроллер + кинко</t>
  </si>
  <si>
    <t>всякое</t>
  </si>
  <si>
    <t>покраска тумбочки +юстус</t>
  </si>
  <si>
    <t>аренда июль</t>
  </si>
  <si>
    <t>электричество</t>
  </si>
  <si>
    <t>цельсий проф за кронштейны вентилятора</t>
  </si>
  <si>
    <t>роман остаток за этажерку</t>
  </si>
  <si>
    <t>синглкап за кронштейны</t>
  </si>
  <si>
    <t>виброопоры на пенорезку</t>
  </si>
  <si>
    <t>11.0722</t>
  </si>
  <si>
    <t>Кирьянов какие то мелоч</t>
  </si>
  <si>
    <t xml:space="preserve">Володя за резку пультов ивацевичу, раскроя на пенорезку, юре пульт, </t>
  </si>
  <si>
    <t>цековка м8</t>
  </si>
  <si>
    <t>типография за пластинки</t>
  </si>
  <si>
    <t>металл на подстолье пенорезки</t>
  </si>
  <si>
    <t>авс электро для пенорезки</t>
  </si>
  <si>
    <t>доставка шлифдисков</t>
  </si>
  <si>
    <t>винты на пенорезку</t>
  </si>
  <si>
    <t>Фёдор проставки на заточной</t>
  </si>
  <si>
    <t>Эдуард - мордашка на волгу</t>
  </si>
  <si>
    <t>Алексей, баки</t>
  </si>
  <si>
    <t>Сергей гидравлика за отводы</t>
  </si>
  <si>
    <t>труба нерж на пенорезку</t>
  </si>
  <si>
    <t>гравировка Ивацевицу</t>
  </si>
  <si>
    <t>электрика на пенорезку</t>
  </si>
  <si>
    <t>реле на пенорез</t>
  </si>
  <si>
    <t>Алексей баки</t>
  </si>
  <si>
    <t>Синглкап за всякую мелось</t>
  </si>
  <si>
    <t>Кирьянов за гайки</t>
  </si>
  <si>
    <t>перерезка резьбы</t>
  </si>
  <si>
    <t>приварной крепёж</t>
  </si>
  <si>
    <t>Володя корпусные детали на пенорезку</t>
  </si>
  <si>
    <t>сверла и тд</t>
  </si>
  <si>
    <t>заварил какую-то хрень</t>
  </si>
  <si>
    <t>год</t>
  </si>
  <si>
    <t>приход</t>
  </si>
  <si>
    <t>расход</t>
  </si>
  <si>
    <t>доход</t>
  </si>
  <si>
    <t>щлифовка 14 дисков резиновых</t>
  </si>
  <si>
    <t>точнул переходники латунные</t>
  </si>
  <si>
    <t>фрезы модульные</t>
  </si>
  <si>
    <t>Володе за резку коромысел на пенорезку</t>
  </si>
  <si>
    <t>Паше за УФ печать на пенорезку</t>
  </si>
  <si>
    <t>Олег за консультацию.</t>
  </si>
  <si>
    <t>Сорокину за проект пенорезки</t>
  </si>
  <si>
    <t>возврат от АВС электро</t>
  </si>
  <si>
    <t>электричество июль</t>
  </si>
  <si>
    <t>ЭССП за колодец</t>
  </si>
  <si>
    <t>сварка проставки</t>
  </si>
  <si>
    <t>частотники на пенорезку2</t>
  </si>
  <si>
    <t>сорокину на электрику на пенорезку 2</t>
  </si>
  <si>
    <t>подшипы на плоскошлиф</t>
  </si>
  <si>
    <t>фреза червячная м04</t>
  </si>
  <si>
    <t>Синглкап за муфту</t>
  </si>
  <si>
    <t>ремонт стула</t>
  </si>
  <si>
    <t>фреза м0,4</t>
  </si>
  <si>
    <t>фреза м2</t>
  </si>
  <si>
    <t>ремонт вала для макаронников</t>
  </si>
  <si>
    <t>эксперименты с напайкой коронок</t>
  </si>
  <si>
    <t>сварка стула</t>
  </si>
  <si>
    <t>кофепод (за 1 шестерню-паразитку, платик и кронштейн)</t>
  </si>
  <si>
    <t>специзоляция аванс 50% за станок</t>
  </si>
  <si>
    <t>за квадрант</t>
  </si>
  <si>
    <t>за квадрант доставка</t>
  </si>
  <si>
    <t>алюминий для фёдора</t>
  </si>
  <si>
    <t>резка восьмёрки на станок славе</t>
  </si>
  <si>
    <t>аренда сентябрь</t>
  </si>
  <si>
    <t>Володе за резку</t>
  </si>
  <si>
    <t>линейка на токарный</t>
  </si>
  <si>
    <t>коммуналка август</t>
  </si>
  <si>
    <t>Кофепод за две шестерни +монтажную плиту</t>
  </si>
  <si>
    <t>прутки ру</t>
  </si>
  <si>
    <t>АО СЗС за крышку редуктора</t>
  </si>
  <si>
    <t>движок на славину пенорезку</t>
  </si>
  <si>
    <t>резка на станок славе</t>
  </si>
  <si>
    <t>сварил теплообменник</t>
  </si>
  <si>
    <t>оплата объявы на авите</t>
  </si>
  <si>
    <t>Александр типография вал сделал</t>
  </si>
  <si>
    <t>кофепод за шестерни и два утюга</t>
  </si>
  <si>
    <t>от Фёдора за воронку</t>
  </si>
  <si>
    <t>Валере аванс за подставки мистер дорс</t>
  </si>
  <si>
    <t>макаронник Илья. Пайка проушины</t>
  </si>
  <si>
    <t>ЭССП за второй колодец и нерджавейку</t>
  </si>
  <si>
    <t>Евгению за резку пилок</t>
  </si>
  <si>
    <t>Лист 40Х</t>
  </si>
  <si>
    <t>вальцы</t>
  </si>
  <si>
    <t xml:space="preserve">от Кмузова за ремонт опор </t>
  </si>
  <si>
    <t>СЗС за 12 резиновых дисков</t>
  </si>
  <si>
    <t>ЭСПП за два нержавеющих детали</t>
  </si>
  <si>
    <t>Валере за сварку подставок</t>
  </si>
  <si>
    <t>ИП Кортунов за 4 подставки (остаток)</t>
  </si>
  <si>
    <t>ПК возрождение - вал и бугель</t>
  </si>
  <si>
    <t>Синглкап за шестерню</t>
  </si>
  <si>
    <t>окна в сарай</t>
  </si>
  <si>
    <t>СЗС за две шестерни</t>
  </si>
  <si>
    <t>Рустам втулки</t>
  </si>
  <si>
    <t>стройматериалы на сарай</t>
  </si>
  <si>
    <t>металла на Кмузова и мелочь</t>
  </si>
  <si>
    <t>Валере за сварку основания на Славу</t>
  </si>
  <si>
    <t>бобышки какие-то</t>
  </si>
  <si>
    <t>аванс от Интерел за устройство сцепки</t>
  </si>
  <si>
    <t>Глазкову за резку на пенорезку2 и конус синглкап</t>
  </si>
  <si>
    <t>Глазкову за резку на пенорезку ост.</t>
  </si>
  <si>
    <t>пена</t>
  </si>
  <si>
    <t>исзоспан</t>
  </si>
  <si>
    <t>подшипы для кмузова</t>
  </si>
  <si>
    <t>херня от барабана</t>
  </si>
  <si>
    <t>утепление сарая</t>
  </si>
  <si>
    <t>от Шкурко аванс за подстолье</t>
  </si>
  <si>
    <t>Валере за подстолье</t>
  </si>
  <si>
    <t>Кирьянок за тарелку</t>
  </si>
  <si>
    <t>лестница и плашка</t>
  </si>
  <si>
    <t>Егор за болт</t>
  </si>
  <si>
    <t>нержавейка на ЭСПП</t>
  </si>
  <si>
    <t>аренда октябрь</t>
  </si>
  <si>
    <t>электричество сентябрь</t>
  </si>
  <si>
    <t>Алёне за резку ЭССП и угла на строгач</t>
  </si>
  <si>
    <t>видроопоры на пенорезку</t>
  </si>
  <si>
    <t>Константин за стойку</t>
  </si>
  <si>
    <t>Кирьянов сварка</t>
  </si>
  <si>
    <t>фрезер</t>
  </si>
  <si>
    <t>Валере за покраску Константина +пенорезки</t>
  </si>
  <si>
    <t>подрезка вентиляции</t>
  </si>
  <si>
    <t>Паше за печать на пенорезке2</t>
  </si>
  <si>
    <t>глазкову за уголки для фёдора</t>
  </si>
  <si>
    <t>синглкап за воронку и 6 пластиковых штучек</t>
  </si>
  <si>
    <t>скобкомёт и всякое</t>
  </si>
  <si>
    <t>степ-сервис за втулки с подшипниками</t>
  </si>
  <si>
    <t>резка кольцевых пил и фанерных шаблонов</t>
  </si>
  <si>
    <t>Крастер аванс (из 35) за проектирование шлёпалки</t>
  </si>
  <si>
    <t>Дженерал Вотер аванс (из 110) за сварку\покраску двух рам</t>
  </si>
  <si>
    <t>ЭССП за 6 железяк</t>
  </si>
  <si>
    <t>СЗС за 9 дисклв + за новые резинки</t>
  </si>
  <si>
    <t>Валере аванс за рамы (60К работа +материал)</t>
  </si>
  <si>
    <t>металл на ЭССП прижимы</t>
  </si>
  <si>
    <t>Глазкову за резку Юстус</t>
  </si>
  <si>
    <t>аванс за проект велосипедика (из 35)</t>
  </si>
  <si>
    <t>остаток за проект шлёпалки (остаток)</t>
  </si>
  <si>
    <t>Юстус сервис за подоконники</t>
  </si>
  <si>
    <t>Синглкап за уменьшение утюга и два кронштейна</t>
  </si>
  <si>
    <t>закупка на гомосипеды</t>
  </si>
  <si>
    <t>уголок</t>
  </si>
  <si>
    <t>дверь</t>
  </si>
  <si>
    <t>Алишеру установка двери</t>
  </si>
  <si>
    <t>Паше за помощь с фрезеровкой</t>
  </si>
  <si>
    <t>Крастер комплектуха для велосипедиков</t>
  </si>
  <si>
    <t>Паше за переделку табличек</t>
  </si>
  <si>
    <t>точило и тумбочки</t>
  </si>
  <si>
    <t>Валере за сварку подбатарейников</t>
  </si>
  <si>
    <t>Валере аванс на водяных</t>
  </si>
  <si>
    <t>Фёдор за ролики</t>
  </si>
  <si>
    <t>Крастер за велотренажёры</t>
  </si>
  <si>
    <t xml:space="preserve">Юстус за переделку основания </t>
  </si>
  <si>
    <t>сантехника в сарай</t>
  </si>
  <si>
    <t>лампы и изолента</t>
  </si>
  <si>
    <t>оплата за велотренадёры</t>
  </si>
  <si>
    <t>Алёне за резиновые диски, миньонов для пенорезки и прочую мелочь</t>
  </si>
  <si>
    <t xml:space="preserve">перчатки </t>
  </si>
  <si>
    <t>Валере за каркас для водяных</t>
  </si>
  <si>
    <t>аванс за плоскошлиф</t>
  </si>
  <si>
    <t>СЗС за 3 шестерёнки</t>
  </si>
  <si>
    <t>гомосипеды</t>
  </si>
  <si>
    <t>возврат за гомосипеды</t>
  </si>
  <si>
    <t>аванс за две проставки</t>
  </si>
  <si>
    <t>вотер текнолоджи</t>
  </si>
  <si>
    <t>всеинструменты всякое по мастерской</t>
  </si>
  <si>
    <t>Глазкову за контейнеры для ЭССП</t>
  </si>
  <si>
    <t>Синглкап за захваты капсул и кольца датера</t>
  </si>
  <si>
    <t>аренда</t>
  </si>
  <si>
    <t>переменка</t>
  </si>
  <si>
    <t>за две проставки</t>
  </si>
  <si>
    <t>от кирьянова за вал и планшайбу</t>
  </si>
  <si>
    <t>билеты в ижевск</t>
  </si>
  <si>
    <t>Эссп (валы +муфты)</t>
  </si>
  <si>
    <t xml:space="preserve">ЭССП </t>
  </si>
  <si>
    <t>ЭССП (плита опорная ремонт)</t>
  </si>
  <si>
    <t>синглкап кольца и кронштейн</t>
  </si>
  <si>
    <t>Крастер, окончание за проектирование велосипеды</t>
  </si>
  <si>
    <t>Крастер за сборку шлёпалок</t>
  </si>
  <si>
    <t>Крастер за сборку велосипедов</t>
  </si>
  <si>
    <t>Возрождение за наварку ножа</t>
  </si>
  <si>
    <t>НИИ Химмаш</t>
  </si>
  <si>
    <t>Цельсий проф</t>
  </si>
  <si>
    <t>ИП Криницкий за станок</t>
  </si>
  <si>
    <t>командировка в Иж</t>
  </si>
  <si>
    <t>Глазкову за резку шлёпалок +тумбочки Сорокину</t>
  </si>
  <si>
    <t>Паше</t>
  </si>
  <si>
    <t>Феде</t>
  </si>
  <si>
    <t>комиссия модуля за вывод цельсия</t>
  </si>
  <si>
    <t>Алёне за резку нержи для Татьяны</t>
  </si>
  <si>
    <t>всеинструменты пневматива всякая</t>
  </si>
  <si>
    <t>магнитная плита</t>
  </si>
  <si>
    <t>за помощь при разгрузке плоскошлифа</t>
  </si>
  <si>
    <t>андрею за подключение плоскошлифа</t>
  </si>
  <si>
    <t>Юре</t>
  </si>
  <si>
    <t>аванс от Ивацевича</t>
  </si>
  <si>
    <t>шайбы из фторопласта</t>
  </si>
  <si>
    <t>металл на миксер крастеру</t>
  </si>
  <si>
    <t>типография ремонт блоков для календаря</t>
  </si>
  <si>
    <t>ивацевич остаток за корпуса-кормушки</t>
  </si>
  <si>
    <t>Валере аванс за сварку лабиринта крастера</t>
  </si>
  <si>
    <t>Сергею за помощь с гидравлткой</t>
  </si>
  <si>
    <t>Глазкову за резку на миксер и ивацевича</t>
  </si>
  <si>
    <t>Валере за сварку лабиринта и доставку</t>
  </si>
  <si>
    <t>Глазкову за резку шкивов +синглакап дозатор азота и крышка</t>
  </si>
  <si>
    <t>паше</t>
  </si>
  <si>
    <t>Крастер за шкивы +миксер</t>
  </si>
  <si>
    <t>гидросканд</t>
  </si>
  <si>
    <t>Серегю за ремонт гидравлики</t>
  </si>
  <si>
    <t>Прутки для ЭССП</t>
  </si>
  <si>
    <t>пулемётная лента</t>
  </si>
  <si>
    <t>две ленты для пилы</t>
  </si>
  <si>
    <t>Панголин Индастрис (крастер) за доработку лабиринта</t>
  </si>
  <si>
    <t>Кислюку за метал для ЭССП</t>
  </si>
  <si>
    <t>от крастера за втулки + доставку</t>
  </si>
  <si>
    <t>от Василия за шкив</t>
  </si>
  <si>
    <t>СЗС за шлифовку резинок</t>
  </si>
  <si>
    <t>всеинструменты расходка</t>
  </si>
  <si>
    <t>от Славы за пенорезку</t>
  </si>
  <si>
    <t>аванс за две подтумбочки</t>
  </si>
  <si>
    <t>Валере аванс за две подтумбочки</t>
  </si>
  <si>
    <t>Алёна за плиту ЭССП</t>
  </si>
  <si>
    <t>Алексанжр эрозия вёдер ЭССП</t>
  </si>
  <si>
    <t>остаток за две подтумбочки</t>
  </si>
  <si>
    <t>Валере ост за сварку подтумбочек</t>
  </si>
  <si>
    <t>Василий от Кирьянова за мерки пороха</t>
  </si>
  <si>
    <t>от Фёдора за гайку для пилилки</t>
  </si>
  <si>
    <t>трибы м0,4 нии химмаш</t>
  </si>
  <si>
    <t>Кирьянов за вал</t>
  </si>
  <si>
    <t>латунная шестерня в маленький редуктор</t>
  </si>
  <si>
    <t>самая первая шестерня в химмаш</t>
  </si>
  <si>
    <t>Славе доляна за пенорезку</t>
  </si>
  <si>
    <t>шлифкруги</t>
  </si>
  <si>
    <t>Крастер за выезд</t>
  </si>
  <si>
    <t>юстус-сервис</t>
  </si>
  <si>
    <t>эссп за гайки и платформу</t>
  </si>
  <si>
    <t>синглкап доплата за дозатор азота +5 колец +заглушку</t>
  </si>
  <si>
    <t>синглкап за за дозатор азота +5 колец +заглушку</t>
  </si>
  <si>
    <t>паще за неделю</t>
  </si>
  <si>
    <t>Алёне за резку ЭССП</t>
  </si>
  <si>
    <t>фрезы на директлоте</t>
  </si>
  <si>
    <t>глазкову за кипланйн, синглкап всякая мелочь и экран на поляка</t>
  </si>
  <si>
    <t>подсмартфонник</t>
  </si>
  <si>
    <t>валере за покраску киплайн</t>
  </si>
  <si>
    <t>электрика и стрейч</t>
  </si>
  <si>
    <t>паше за неделю</t>
  </si>
  <si>
    <t>киплайн остаток за крепления датчиков</t>
  </si>
  <si>
    <t>СЗС за 12 дисков и 3 совсем плохих</t>
  </si>
  <si>
    <t>Кирьянов за шлицевую пару.</t>
  </si>
  <si>
    <t>за фторопластовые озаторы сахара</t>
  </si>
  <si>
    <t>всякое на мастерскую</t>
  </si>
  <si>
    <t>электрика в сарайку</t>
  </si>
  <si>
    <t>Кирьянов</t>
  </si>
  <si>
    <t>Вагиф за перепрессовку</t>
  </si>
  <si>
    <t>армян за латунные муфточки</t>
  </si>
  <si>
    <t>всеинстр разное</t>
  </si>
  <si>
    <t>Александру эрозия за резку ракелей, держателей и планок</t>
  </si>
  <si>
    <t>кружки</t>
  </si>
  <si>
    <t>Паше за акрил для кофейников и наклейки</t>
  </si>
  <si>
    <t>Шестерни для Химмаш 61 шт</t>
  </si>
  <si>
    <t>Синглкап за диски акриловые, дозатор азота и что-то ещё.</t>
  </si>
  <si>
    <t>коордошлиф</t>
  </si>
  <si>
    <t>Боре за разгрузку</t>
  </si>
  <si>
    <t>эссп: ракели, держатели, валы, талрепы и т.д.</t>
  </si>
  <si>
    <t>за пенорезку</t>
  </si>
  <si>
    <t>свет за нояб-декаб</t>
  </si>
  <si>
    <t>всякая хрень</t>
  </si>
  <si>
    <t>глазкову за резку Александра, Шайзенверка и ЭССП</t>
  </si>
  <si>
    <t>Вагиф за сварку коллектора и шлифовку проставок</t>
  </si>
  <si>
    <t>олег за завтуливание дизель-генератора</t>
  </si>
  <si>
    <t>Паше за неделю +премия</t>
  </si>
  <si>
    <t>дозаторы для сахара</t>
  </si>
  <si>
    <t>железки с директлота</t>
  </si>
  <si>
    <t>заварил рампу</t>
  </si>
  <si>
    <t>Вагиф за сворку ушка карба</t>
  </si>
  <si>
    <t>от александра за шаблоны для токарного</t>
  </si>
  <si>
    <t>Илья макаронник за валшестерню</t>
  </si>
  <si>
    <t>спецовка</t>
  </si>
  <si>
    <t>паше за помощь</t>
  </si>
  <si>
    <t>направляйки с алика</t>
  </si>
  <si>
    <t>от Славы за две резалки</t>
  </si>
  <si>
    <t>Глазкову за резку на тестя, шайзерверк и синглкап</t>
  </si>
  <si>
    <t>Александру за эрозию подшипников для ЭССП и роликов для ИЮМ климат</t>
  </si>
  <si>
    <t>Александру за резьбошлифовку для ЭССП</t>
  </si>
  <si>
    <t>развёртка</t>
  </si>
  <si>
    <t>мелочи в ВИ</t>
  </si>
  <si>
    <t>Синглкап</t>
  </si>
  <si>
    <t>ЮИМ климат два шпонпаза в калёнке +два ролика на иговку</t>
  </si>
  <si>
    <t>от фёдора за покраску</t>
  </si>
  <si>
    <t>Валере за покраску фёдора</t>
  </si>
  <si>
    <t>Алёне за резку резины</t>
  </si>
  <si>
    <t>эрозия</t>
  </si>
  <si>
    <t>доставка эрозии</t>
  </si>
  <si>
    <t>разгрузка</t>
  </si>
  <si>
    <t>подши на вибросито</t>
  </si>
  <si>
    <t>СЗС винты и муфточка</t>
  </si>
  <si>
    <t>круг на киплайн +латунь на толкатели синглкап +45 на вал кирьянову</t>
  </si>
  <si>
    <t>валшестерня на макароны</t>
  </si>
  <si>
    <t>всякое по мастерской</t>
  </si>
  <si>
    <t>спет-сервис сварка венчика</t>
  </si>
  <si>
    <t>аванс из 45 на киплайн</t>
  </si>
  <si>
    <t>киплайн</t>
  </si>
  <si>
    <t>кофепод</t>
  </si>
  <si>
    <t>кофепод за ремонт трёх утюгов</t>
  </si>
  <si>
    <t>Кирьянов, аванс за вибросито</t>
  </si>
  <si>
    <t>Александр за обучение на эрозии</t>
  </si>
  <si>
    <t>Глазков, резка на вибросито</t>
  </si>
  <si>
    <t>всякое во всеинстр</t>
  </si>
  <si>
    <t>Александр эрозия на Киплайн</t>
  </si>
  <si>
    <t>Илья макаронник за шестерню 43 зуба и слесарные работы</t>
  </si>
  <si>
    <t>линейка на токарник</t>
  </si>
  <si>
    <t>круглошлиф</t>
  </si>
  <si>
    <t>железки всякие</t>
  </si>
  <si>
    <t>ремонт сварочника</t>
  </si>
  <si>
    <t>электрика</t>
  </si>
  <si>
    <t>СЗС за 12 дисков</t>
  </si>
  <si>
    <t>паша за 3 дня</t>
  </si>
  <si>
    <t>всеинстр</t>
  </si>
  <si>
    <t>какая-то штучка для велосипедика</t>
  </si>
  <si>
    <t>синглкап за ремонт 6 утюгов и 32 толкателя</t>
  </si>
  <si>
    <t>Киплайн доплата за пневмолягушку</t>
  </si>
  <si>
    <t>ЭССП окончатеьный расчет</t>
  </si>
  <si>
    <t>кирьянов, шлифовка ножа</t>
  </si>
  <si>
    <t>Антон металлург за сварку</t>
  </si>
  <si>
    <t>Валере за кубик кирьянову</t>
  </si>
  <si>
    <t>проволока на эрозию</t>
  </si>
  <si>
    <t>токосъёмники для эрозии</t>
  </si>
  <si>
    <t>Вадим аванс за 2 шестерни из 20000</t>
  </si>
  <si>
    <t>330ОМ за 4 кронштейна</t>
  </si>
  <si>
    <t>Вадим за 3 шестерни</t>
  </si>
  <si>
    <t>доставка проволоки</t>
  </si>
  <si>
    <t>патрон на токарный</t>
  </si>
  <si>
    <t>ВИ</t>
  </si>
  <si>
    <t>авито</t>
  </si>
  <si>
    <t>Фёдор за пастину</t>
  </si>
  <si>
    <t>синглкап за шифовку корпуса шнека +4 направляющих +переходники</t>
  </si>
  <si>
    <t>Цельсий проф за 3 пронштейна +пульт</t>
  </si>
  <si>
    <t>фильтр СОЖ на эрозию</t>
  </si>
  <si>
    <t>Кирьянов за роторные ножи</t>
  </si>
  <si>
    <t>Глазков за резку уголковФдору, и за железо на стенд балансировочный и эрощию</t>
  </si>
  <si>
    <t>электричество янв-февр</t>
  </si>
  <si>
    <t>аванс за резку листа</t>
  </si>
  <si>
    <t xml:space="preserve">остаток за резку </t>
  </si>
  <si>
    <t>глазкову за резку листа</t>
  </si>
  <si>
    <t>валере за тумбочку и покраску консолей</t>
  </si>
  <si>
    <t>Цельсий</t>
  </si>
  <si>
    <t>глазкову за резку 2 ножей к чудолопате и эксцентриков на вибросито</t>
  </si>
  <si>
    <t>от Ильи макаронника за шлифовку валика</t>
  </si>
  <si>
    <t>КМ4-планшайба</t>
  </si>
  <si>
    <t>возрождение аванс на трубу для вала клапанов</t>
  </si>
  <si>
    <t>рустам за 4 проставки</t>
  </si>
  <si>
    <t>Илья макаронник за бронзовую втулку</t>
  </si>
  <si>
    <t>синглкап не помню за что</t>
  </si>
  <si>
    <t>вал для типографии заказал заготовку</t>
  </si>
  <si>
    <t>гидравлическое масло</t>
  </si>
  <si>
    <t>алмазные диски</t>
  </si>
  <si>
    <t>алмазные круги</t>
  </si>
  <si>
    <t>редуктор для зубача</t>
  </si>
  <si>
    <t>заварил интеркулер</t>
  </si>
  <si>
    <t>возрождение ремонт вала клапанов +соленоид +пластины</t>
  </si>
  <si>
    <t>Синглкап за 8 держателей капсул +воронка</t>
  </si>
  <si>
    <t>Сергей гидравлика за всякую мелочь</t>
  </si>
  <si>
    <t>Илья макаронник за сварку</t>
  </si>
  <si>
    <t>СЗС за 9 дисков</t>
  </si>
  <si>
    <t>Василий за 3 мерки на порох</t>
  </si>
  <si>
    <t>гайка 70х1,5</t>
  </si>
  <si>
    <t>СЗС за 16 реинок и 8 зелезок</t>
  </si>
  <si>
    <t>Киплайн аванс за две заглушки</t>
  </si>
  <si>
    <t>Илья макаронник за гайку</t>
  </si>
  <si>
    <t>за шкив к насосу ГШ10</t>
  </si>
  <si>
    <t>Тигран за заточку штампа</t>
  </si>
  <si>
    <t>заточка штампа</t>
  </si>
  <si>
    <t>Паша Рябов за ремонт шкивов</t>
  </si>
  <si>
    <t>Сергей гидравлика сварка</t>
  </si>
  <si>
    <t>Фёдор (40 за подстолье, 11 за уголки, 40 аванс за замок)</t>
  </si>
  <si>
    <t>Васиилий за 2 мерки</t>
  </si>
  <si>
    <t>доставка кругов</t>
  </si>
  <si>
    <t>глазков за резку защёлки фёдору, юре фланцы и кирьянову на сито</t>
  </si>
  <si>
    <t>всякая херь в мастерскую</t>
  </si>
  <si>
    <t>Сергей гидравлика</t>
  </si>
  <si>
    <t>прутки материаль для вагифа и титан</t>
  </si>
  <si>
    <t>Сорокин возврат за материал</t>
  </si>
  <si>
    <t xml:space="preserve">прутки </t>
  </si>
  <si>
    <t>василий за капсюлеподаватель</t>
  </si>
  <si>
    <t>винты</t>
  </si>
  <si>
    <t>уборка</t>
  </si>
  <si>
    <t>энергосервис за вал</t>
  </si>
  <si>
    <t>валере за сварку и покраску достолья фёдору</t>
  </si>
  <si>
    <t>прутки 9ХС на пуансоны</t>
  </si>
  <si>
    <t>метчики тр10х2 и батарейки</t>
  </si>
  <si>
    <t>Вагиф за проточку ступиц</t>
  </si>
  <si>
    <t>киплайн окончание за две заглушки</t>
  </si>
  <si>
    <t>Юстус сервис за покраску полосы</t>
  </si>
  <si>
    <t>СЗС за шлифовку 9 металлических дисков</t>
  </si>
  <si>
    <t>валера за покраску полосы</t>
  </si>
  <si>
    <t>кран и прочее на кругляш</t>
  </si>
  <si>
    <t>приводной ремень на вибросито</t>
  </si>
  <si>
    <t>Фёдор за подстолье</t>
  </si>
  <si>
    <t>Дмитрий какаошник за сварку трубы</t>
  </si>
  <si>
    <t>евгений за резку клипс +зуборейки +кусков на вибросито</t>
  </si>
  <si>
    <t>глазков раскрой на вибросито и мелочи</t>
  </si>
  <si>
    <t>Химмаш за шестрени</t>
  </si>
  <si>
    <t>прутки</t>
  </si>
  <si>
    <t>резка клипс</t>
  </si>
  <si>
    <t>за клипсы</t>
  </si>
  <si>
    <t>ЮИМ климат за два переходника на трос</t>
  </si>
  <si>
    <t>СЗС за 9 резинок</t>
  </si>
  <si>
    <t>СЗС за шлифовку 14 резинок</t>
  </si>
  <si>
    <t>Дмитрий Какао за барабан</t>
  </si>
  <si>
    <t>Валера за отвоз листа на гидру</t>
  </si>
  <si>
    <t>Валера за покраску вибросита</t>
  </si>
  <si>
    <t>Дмитрий 3д печать переходников на вибросито</t>
  </si>
  <si>
    <t>Станислав за рейку</t>
  </si>
  <si>
    <t>планшайба</t>
  </si>
  <si>
    <t>книжка</t>
  </si>
  <si>
    <t>Вагиф: фланцы, труба, всякая мелочь</t>
  </si>
  <si>
    <t>ВИ, метчк 8х1</t>
  </si>
  <si>
    <t>кондиционер</t>
  </si>
  <si>
    <t>виброизоляция на вибросито</t>
  </si>
  <si>
    <t>Тигран ремонт штампа</t>
  </si>
  <si>
    <t>Юрин за радиодетали</t>
  </si>
  <si>
    <t>Жалменов за патрон+станок</t>
  </si>
  <si>
    <t>муфта Юре на тянитолкая</t>
  </si>
  <si>
    <t>Равиль за каретку для станка</t>
  </si>
  <si>
    <t>Тигран за ремонт большого штампа</t>
  </si>
  <si>
    <t>планиметр</t>
  </si>
  <si>
    <t>СЗС шлифовка стальных дисков</t>
  </si>
  <si>
    <t>кирьянов шкив</t>
  </si>
  <si>
    <t>Кирилл удлинение штока</t>
  </si>
  <si>
    <t>Максим за 7 тубусов для датчиков</t>
  </si>
  <si>
    <t>за ремонт винтовых опор</t>
  </si>
  <si>
    <t>СЗС 9 стальных дисков</t>
  </si>
  <si>
    <t>Юрину за платы на пенетратор</t>
  </si>
  <si>
    <t>металл на СЗС</t>
  </si>
  <si>
    <t>Валере за поверочную плиту</t>
  </si>
  <si>
    <t>Вове за дюраль</t>
  </si>
  <si>
    <t>материал на пуансоны</t>
  </si>
  <si>
    <t>кирьянов гайка</t>
  </si>
  <si>
    <t>Меридиан за ремонт корпуса КОМа</t>
  </si>
  <si>
    <t>Мосточлегмаш аванс за подину 40%</t>
  </si>
  <si>
    <t>СЗС шлифовка резины +две мешалки</t>
  </si>
  <si>
    <t>Сергей за приварку уха стартера</t>
  </si>
  <si>
    <t>точнул переходник</t>
  </si>
  <si>
    <t>резак</t>
  </si>
  <si>
    <t>ремонт саханой ваты</t>
  </si>
  <si>
    <t>тигран ремонт штампа</t>
  </si>
  <si>
    <t>Дмитрий какао за трубу</t>
  </si>
  <si>
    <t>ВИ всякое</t>
  </si>
  <si>
    <t>Максим за 6 корпусов</t>
  </si>
  <si>
    <t>ЧМИ панель на зубач</t>
  </si>
  <si>
    <t>Алёна за резку подины мосточлегмащ</t>
  </si>
  <si>
    <t>СЗС за гайки из капролона</t>
  </si>
  <si>
    <t>бухло Юре за энкодеры</t>
  </si>
  <si>
    <t>егору за доставку</t>
  </si>
  <si>
    <t>10 алмазных правилок</t>
  </si>
  <si>
    <t>май электричество</t>
  </si>
  <si>
    <t>материал на ПЭТ-текнолоджи</t>
  </si>
  <si>
    <t>аргон</t>
  </si>
  <si>
    <t>труба на сварку подины</t>
  </si>
  <si>
    <t>ПЭТ-технолодни предоплата за контейнеры 100%</t>
  </si>
  <si>
    <t>СЗС за 9 металлических дисков</t>
  </si>
  <si>
    <t>плита поверочная под ремонт</t>
  </si>
  <si>
    <t>синглкап за ремонт 2 утюгов</t>
  </si>
  <si>
    <t>всякое на ВИ</t>
  </si>
  <si>
    <t>ремонт планетарного редуктора</t>
  </si>
  <si>
    <t>типография сварка</t>
  </si>
  <si>
    <t>алик разное</t>
  </si>
  <si>
    <t>СЗС шлифовка резинок</t>
  </si>
  <si>
    <t>Фёдор Левин аванс за подставки</t>
  </si>
  <si>
    <t>ВИ струбцина и герметик</t>
  </si>
  <si>
    <t>Александр заточка ножей</t>
  </si>
  <si>
    <t>комплект для кондея в шлифовку</t>
  </si>
  <si>
    <t>Фёдор Левин остаток</t>
  </si>
  <si>
    <t>прутки. Металл на синглкап</t>
  </si>
  <si>
    <t>СЗС резинки</t>
  </si>
  <si>
    <t>станок</t>
  </si>
  <si>
    <t>от Фёдора Левина премия</t>
  </si>
  <si>
    <t>Валере за перевозку станка</t>
  </si>
  <si>
    <t>шлифовальные камни на петеве</t>
  </si>
  <si>
    <t>Олег за проточку импеллера</t>
  </si>
  <si>
    <t>всякое на директлоте</t>
  </si>
  <si>
    <t>Сергей эрозия 2 бронзовых</t>
  </si>
  <si>
    <t>директлот всякое</t>
  </si>
  <si>
    <t>Сергей эрозия запайщиков</t>
  </si>
  <si>
    <t>ремонт насоса на каток</t>
  </si>
  <si>
    <t>горелка</t>
  </si>
  <si>
    <t>Синглкап за всякое</t>
  </si>
  <si>
    <t>Сергей гидравлик за муфту</t>
  </si>
  <si>
    <t xml:space="preserve">синглкап </t>
  </si>
  <si>
    <t xml:space="preserve">пластинки </t>
  </si>
  <si>
    <t>х12мф для тиграна</t>
  </si>
  <si>
    <t>круг 40Х для муфты для сергея</t>
  </si>
  <si>
    <t>Александр за резку железа</t>
  </si>
  <si>
    <t>Глазков за резку</t>
  </si>
  <si>
    <t>прозрачная плёнка</t>
  </si>
  <si>
    <t>плёнка</t>
  </si>
  <si>
    <t>Алёне за резку чернухи для синглкап</t>
  </si>
  <si>
    <t>Полина аванс за колёса</t>
  </si>
  <si>
    <t>фанера на теслу</t>
  </si>
  <si>
    <t>раскрой фанеры</t>
  </si>
  <si>
    <t>шлифовка плит от компрессора</t>
  </si>
  <si>
    <t>ремонт какой-то жерни</t>
  </si>
  <si>
    <t>аванс на теслу</t>
  </si>
  <si>
    <t>Валера за кронштейны Киплайн</t>
  </si>
  <si>
    <t>Валера аванс на теслу</t>
  </si>
  <si>
    <t>глазков за резку теслы и нержавеющих ручек на кроны РЖД</t>
  </si>
  <si>
    <t>Серегей запайщии за эрозию 10 запайщиков</t>
  </si>
  <si>
    <t>мовиком за пластины</t>
  </si>
  <si>
    <t>прутки за 4 пластины д16т на мовиком</t>
  </si>
  <si>
    <t>за вытяжку для плоскошлифа</t>
  </si>
  <si>
    <t>краска</t>
  </si>
  <si>
    <t>стойка измерительная</t>
  </si>
  <si>
    <t>микрокатор</t>
  </si>
  <si>
    <t>Синглкап за пластины</t>
  </si>
  <si>
    <t>Паше за вывеску якорь</t>
  </si>
  <si>
    <t>Алёне за резку плит д16т</t>
  </si>
  <si>
    <t>Глазкову за резку усилителей на теслу</t>
  </si>
  <si>
    <t>токарно-револьверный</t>
  </si>
  <si>
    <t>Сергей запайщики, 2 шт.</t>
  </si>
  <si>
    <t>тесла проушины</t>
  </si>
  <si>
    <t>розетки в шлифку</t>
  </si>
  <si>
    <t>Киплайн за кронштейны метеостанции</t>
  </si>
  <si>
    <t>киплайн за доработку кронштейнов заглушек</t>
  </si>
  <si>
    <t>фёдор за кронштейны</t>
  </si>
  <si>
    <t>двутавр для теслы</t>
  </si>
  <si>
    <t>доставка ищмерительной стойки</t>
  </si>
  <si>
    <t>болты для теслы</t>
  </si>
  <si>
    <t>гайки для теслы</t>
  </si>
  <si>
    <t>крючки</t>
  </si>
  <si>
    <t>шаклы для теслы</t>
  </si>
  <si>
    <t>чалки для теслы</t>
  </si>
  <si>
    <t>качалка для воды</t>
  </si>
  <si>
    <t>мосточлегмаш аванс 100% за сверление бревна</t>
  </si>
  <si>
    <t>мосточлегмаш остаток за подину</t>
  </si>
  <si>
    <t>перчатки сварочные</t>
  </si>
  <si>
    <t>мовиком за винты и направляющие</t>
  </si>
  <si>
    <t>ножницы НК</t>
  </si>
  <si>
    <t>зенковка</t>
  </si>
  <si>
    <t>Юрино бабло от СПТ</t>
  </si>
  <si>
    <t>трубка межная</t>
  </si>
  <si>
    <t>алишеру и виталику за помощь</t>
  </si>
  <si>
    <t>вторая сумма Юре</t>
  </si>
  <si>
    <t>Юре отдал</t>
  </si>
  <si>
    <t>от Алексея Тиханкова</t>
  </si>
  <si>
    <t>Алексею</t>
  </si>
  <si>
    <t>Юрино бабло от цельсия</t>
  </si>
  <si>
    <t>аренда август авансом</t>
  </si>
  <si>
    <t>Полина остаток за теслу</t>
  </si>
  <si>
    <t>Полина за монтаж</t>
  </si>
  <si>
    <t>расходы на монтаже</t>
  </si>
  <si>
    <t>Алишеру за помощь</t>
  </si>
  <si>
    <t>СЗС шлифовка 14 железок</t>
  </si>
  <si>
    <t>Егору авансом за шлифовку резины</t>
  </si>
  <si>
    <t>Юрино бабло от Цельсия</t>
  </si>
  <si>
    <t>паспорт на Ножницы</t>
  </si>
  <si>
    <t>аванс за 28 заглушек Киплайн</t>
  </si>
  <si>
    <t>ремонт бурилки</t>
  </si>
  <si>
    <t>прутки. Заготовка на заглушки ТПИ</t>
  </si>
  <si>
    <t>метэк. Заготовка на заглушки ТПИ</t>
  </si>
  <si>
    <t>прутки. Фторопласт на ножницы</t>
  </si>
  <si>
    <t>Егору премия</t>
  </si>
  <si>
    <t>металл всякий на запас</t>
  </si>
  <si>
    <t>конусоточилка</t>
  </si>
  <si>
    <t>Сорокину за тиски</t>
  </si>
  <si>
    <t>Два частотника на автомат.</t>
  </si>
  <si>
    <t>питальник на эрозию</t>
  </si>
  <si>
    <t>питальник на чпу</t>
  </si>
  <si>
    <t>Андрей аванс за светильники</t>
  </si>
  <si>
    <t>Кислюку за 2 листа нержи</t>
  </si>
  <si>
    <t>Валере за 2 листа нержи</t>
  </si>
  <si>
    <t>Валере аванс за работу</t>
  </si>
  <si>
    <t>ИП Калькаев за 9 грибков в ботсад</t>
  </si>
  <si>
    <t>Сане Жалменову за гидросуппорт</t>
  </si>
  <si>
    <t>Валере остаток за грибки в ботсад</t>
  </si>
  <si>
    <t>всякая мелочь.</t>
  </si>
  <si>
    <t>проектирование полочек в ванную</t>
  </si>
  <si>
    <t>Алёна за резку плит на Синглкап и заглушек ТПИ</t>
  </si>
  <si>
    <t>болты и ключ на гидросуппорт</t>
  </si>
  <si>
    <t>аванс за полки из нержи</t>
  </si>
  <si>
    <t>масло</t>
  </si>
  <si>
    <t>линейки на шлифер</t>
  </si>
  <si>
    <t>реверсивная головка</t>
  </si>
  <si>
    <t>всякая шляпа с алика</t>
  </si>
  <si>
    <t>егору за помощь</t>
  </si>
  <si>
    <t>Синглкап плиты всякие</t>
  </si>
  <si>
    <t>высечные ножи, ремонт вала, ремонт плиты</t>
  </si>
  <si>
    <t>от Парадеича аванс на смарт</t>
  </si>
  <si>
    <t>в.и. всякое</t>
  </si>
  <si>
    <t xml:space="preserve">Вагиф шлифовка </t>
  </si>
  <si>
    <t>электричество август</t>
  </si>
  <si>
    <t>Иван Постняков за ручку в самолёт</t>
  </si>
  <si>
    <t>ВИ метчики</t>
  </si>
  <si>
    <t>остаток за две полки</t>
  </si>
  <si>
    <t>Олег шлифовка плиты</t>
  </si>
  <si>
    <t>Валера аванс на смарт</t>
  </si>
  <si>
    <t>колёсные болты на смарт</t>
  </si>
  <si>
    <t>Интертекстиль аванс за 3д моделирование</t>
  </si>
  <si>
    <t>Глазков за токарку на РЖД</t>
  </si>
  <si>
    <t>ВИ разное</t>
  </si>
  <si>
    <t>прутки заготовка на смарт</t>
  </si>
  <si>
    <t>ММР аванс за 72 втулки</t>
  </si>
  <si>
    <t>прутки материал на втулки</t>
  </si>
  <si>
    <t>Алишер за помощь со сматром</t>
  </si>
  <si>
    <t>ММР остаток за втулки</t>
  </si>
  <si>
    <t>прутки дюраль на проставки на смарт</t>
  </si>
  <si>
    <t>прутки 40х на скалку</t>
  </si>
  <si>
    <t>принтер</t>
  </si>
  <si>
    <t>Паше за резку резинок на РЖД</t>
  </si>
  <si>
    <t>ленты на пилу</t>
  </si>
  <si>
    <t>фильтры для эрозии</t>
  </si>
  <si>
    <t>каретка на токарный</t>
  </si>
  <si>
    <t>Интертекстиль за валы, муфты, корзину и т.д.</t>
  </si>
  <si>
    <t>типография болты и ремонт вала</t>
  </si>
  <si>
    <t>Сергей запайщики, 1шт.</t>
  </si>
  <si>
    <t>Александру за эрозию заготовок для РЖД</t>
  </si>
  <si>
    <t>Тихонков</t>
  </si>
  <si>
    <t>Мосточлегмаш аванс за дву муфеля</t>
  </si>
  <si>
    <t>сварка кровати</t>
  </si>
  <si>
    <t>ММР ручка\</t>
  </si>
  <si>
    <t>разное</t>
  </si>
  <si>
    <t>ИП Палилова ремонт диспергатора</t>
  </si>
  <si>
    <t>аренда сент.2023</t>
  </si>
  <si>
    <t>электричество сент.</t>
  </si>
  <si>
    <t>Эдуард</t>
  </si>
  <si>
    <t>ООО ПРС аванс 50% за шестерни</t>
  </si>
  <si>
    <t>Глазков железо на мосточлегмаш</t>
  </si>
  <si>
    <t>Валера за смарт</t>
  </si>
  <si>
    <t>аванс за плиту к термопластавтомату</t>
  </si>
  <si>
    <t>железо на мосточлегмаш и на плиту</t>
  </si>
  <si>
    <t>алюминий на литьё</t>
  </si>
  <si>
    <t>Эдуард, шлифовка +болт</t>
  </si>
  <si>
    <t>Сергей эрозия двух запайщиков</t>
  </si>
  <si>
    <t>доставка алюминия</t>
  </si>
  <si>
    <t>резка плит на коробку баржи</t>
  </si>
  <si>
    <t>Валере за смарт</t>
  </si>
  <si>
    <t>глазков резка вагиф кронштейн и оснастка на плиту для ТПА</t>
  </si>
  <si>
    <t>Ашот ремонт вала катка</t>
  </si>
  <si>
    <t>Вагиф проушина на иж оду</t>
  </si>
  <si>
    <t>аванс за 6 пластин</t>
  </si>
  <si>
    <t>резка пластин</t>
  </si>
  <si>
    <t>Пётр пуансон для вальцовки</t>
  </si>
  <si>
    <t>ПРС шестерни остаток</t>
  </si>
  <si>
    <t>стороннее интертекстиль</t>
  </si>
  <si>
    <t>гайки м8 на муфели мосточлегмаш</t>
  </si>
  <si>
    <t>гайка м5</t>
  </si>
  <si>
    <t>ост. За 6 пластин</t>
  </si>
  <si>
    <t>цельсий</t>
  </si>
  <si>
    <t>Юре за цельсий</t>
  </si>
  <si>
    <t>Егору за смарт</t>
  </si>
  <si>
    <t>2 метра трубы</t>
  </si>
  <si>
    <t>Интертекстиль</t>
  </si>
  <si>
    <t>масло в круглошлиф</t>
  </si>
  <si>
    <t>Мосточлегмаш остаток за два горячих муфеля</t>
  </si>
  <si>
    <t>Пётр за матрицу и два пуансона</t>
  </si>
  <si>
    <t>Кофепод за 4 клапана</t>
  </si>
  <si>
    <t>пруток для принтера</t>
  </si>
  <si>
    <t>аванс Оренбург</t>
  </si>
  <si>
    <t xml:space="preserve">Синглкап аванс за гайку м26х1,5 +8 направляющих </t>
  </si>
  <si>
    <t>прутки за заготовки для ЭССП, синглкапа и Оренбурга</t>
  </si>
  <si>
    <t>УДГ</t>
  </si>
  <si>
    <t>ТПИ заглушки остаток</t>
  </si>
  <si>
    <t>Орен за бронзовые детальки</t>
  </si>
  <si>
    <t>линейка на кругляш</t>
  </si>
  <si>
    <t>Юре подготовлено</t>
  </si>
  <si>
    <t>чота с алика</t>
  </si>
  <si>
    <t>ЭССП шлифовка плиты +стакан</t>
  </si>
  <si>
    <t>Фёдор аванс за калитку из 88</t>
  </si>
  <si>
    <t>ТПИ аванс за сборку заглушек</t>
  </si>
  <si>
    <t>ёта</t>
  </si>
  <si>
    <t>фланцы на оренбург</t>
  </si>
  <si>
    <t>расходка на ТПИ заглушки</t>
  </si>
  <si>
    <t>Технониколь остаток</t>
  </si>
  <si>
    <t>денис ремонт дудки</t>
  </si>
  <si>
    <t>Парадеич ост за смарт</t>
  </si>
  <si>
    <t>точилка на шлифер</t>
  </si>
  <si>
    <t>Интертекстиль 2 комплекта: корзины, муфты, валы</t>
  </si>
  <si>
    <t>за планетарку от экскаватора</t>
  </si>
  <si>
    <t>Сергей запайщики 6 комплектов по 2 шт</t>
  </si>
  <si>
    <t>обогреватели</t>
  </si>
  <si>
    <t>пластины</t>
  </si>
  <si>
    <t>ЭССП шлифовка плиты</t>
  </si>
  <si>
    <t>магнит</t>
  </si>
  <si>
    <t>Синглкап за пластину</t>
  </si>
  <si>
    <t>Техномаркетингсолюшенс за колесо камаза</t>
  </si>
  <si>
    <t>Монсол, аванс за детали стенда</t>
  </si>
  <si>
    <t>аванс за ЧПУ</t>
  </si>
  <si>
    <t>ЭССП за фланец +2кронштейна</t>
  </si>
  <si>
    <t>Рубрукс (александр долта) за шлифовку</t>
  </si>
  <si>
    <t>Эдуарду за шлифовку валов Александра</t>
  </si>
  <si>
    <t>от Элуарда за шлифовку ножей</t>
  </si>
  <si>
    <t>аванс за ручку из 6</t>
  </si>
  <si>
    <t>Дмитрию Велесу</t>
  </si>
  <si>
    <t>Глазкову за резку колеса</t>
  </si>
  <si>
    <t>заточка дисковых ножей. 11 по 2,5к и 9 по 7</t>
  </si>
  <si>
    <t>шлифовалка</t>
  </si>
  <si>
    <t>разное на директлоте</t>
  </si>
  <si>
    <t>фёдор остаток за калитку</t>
  </si>
  <si>
    <t>Валере за калитку и камаз</t>
  </si>
  <si>
    <t>егору за шлифовку ножей</t>
  </si>
  <si>
    <t>паше за фрезеровку</t>
  </si>
  <si>
    <t>термоусадка на заглушки</t>
  </si>
  <si>
    <t>Александр за куски лендровера</t>
  </si>
  <si>
    <t>Серегей 2 запайщика</t>
  </si>
  <si>
    <t>ЭССП ракели</t>
  </si>
  <si>
    <t>детальки для принтера</t>
  </si>
  <si>
    <t>Аванс за чпу</t>
  </si>
  <si>
    <t>Андрей аванс за подставку под ганделю</t>
  </si>
  <si>
    <t>Александр Оренбург за кусок насоса</t>
  </si>
  <si>
    <t>Монсол, окончание за стенд</t>
  </si>
  <si>
    <t>железо на подставки для гантели</t>
  </si>
  <si>
    <t>железо на второую подставку</t>
  </si>
  <si>
    <t>полог в слесарку</t>
  </si>
  <si>
    <t>Алишеру</t>
  </si>
  <si>
    <t>Андрею за подключение станка</t>
  </si>
  <si>
    <t>Паша Рябов за печать лого для качков</t>
  </si>
  <si>
    <t>технониколь аванс за кашировалку</t>
  </si>
  <si>
    <t>расходка на эрозию</t>
  </si>
  <si>
    <t>Андрей остаток за две подставки</t>
  </si>
  <si>
    <t>за запятую для робота</t>
  </si>
  <si>
    <t>Юре отдал: 10к стразовка за станок +75000 за станок за янв</t>
  </si>
  <si>
    <t>возврат аванса за токарник</t>
  </si>
  <si>
    <t>возврат от Юры</t>
  </si>
  <si>
    <t>микроскоп</t>
  </si>
  <si>
    <t>гайки и тэны на клеемазалку</t>
  </si>
  <si>
    <t>токосъёмник на клеемазку</t>
  </si>
  <si>
    <t>энкодеры для клеемазки</t>
  </si>
  <si>
    <t>Лёхе за кругляк 120 и 140</t>
  </si>
  <si>
    <t>Лёхе за доставку микроскопа</t>
  </si>
  <si>
    <t>деловые за полог</t>
  </si>
  <si>
    <t>Вагиф за проставки</t>
  </si>
  <si>
    <t>т</t>
  </si>
  <si>
    <t>эдуард рукоятка</t>
  </si>
  <si>
    <t>Александр Долта шлифовка пластинок</t>
  </si>
  <si>
    <t>очки</t>
  </si>
  <si>
    <t>Киплайн за сборку заглушек остаток</t>
  </si>
  <si>
    <t>полиграфисты за ремонт прижима</t>
  </si>
  <si>
    <t>Киплайн за два прототипа БХв</t>
  </si>
  <si>
    <t>ММР за ремонт снегоуборщика</t>
  </si>
  <si>
    <t>не помню</t>
  </si>
  <si>
    <t>всякой херни напокупал</t>
  </si>
  <si>
    <t>профилометр</t>
  </si>
  <si>
    <t>цанговый патрон и патрон на чпу</t>
  </si>
  <si>
    <t>Магомет ножи</t>
  </si>
  <si>
    <t>ПК Возрождение за штифты</t>
  </si>
  <si>
    <t>Синглкап за корпуса шнеков и заточку ножей</t>
  </si>
  <si>
    <t>Интертекстиль, модели нижнего стерднего и верхнего этажа</t>
  </si>
  <si>
    <t>Интертекстиль, модели размотчика и промежуточного этажа и сварку основания</t>
  </si>
  <si>
    <t>Валере за сварку основания</t>
  </si>
  <si>
    <t>Олег шлифовка ножей</t>
  </si>
  <si>
    <t>переменка декабрь</t>
  </si>
  <si>
    <t>насос для клеемазалки</t>
  </si>
  <si>
    <t>аванс 50% за пневмомал для клеемазалки</t>
  </si>
  <si>
    <t>частотники для клеемазки</t>
  </si>
  <si>
    <t>щуп профилометра</t>
  </si>
  <si>
    <t>Долта за шлифовку ножей</t>
  </si>
  <si>
    <t>лазер на клеемазку</t>
  </si>
  <si>
    <t>прутки материал на Долту и бинтомоты</t>
  </si>
  <si>
    <t>полоса в запас</t>
  </si>
  <si>
    <t>интертекстись бинтомот комплект гнутого железа</t>
  </si>
  <si>
    <t>глазков за комплект на бинтомот</t>
  </si>
  <si>
    <t>типография за вал</t>
  </si>
  <si>
    <t>доставка лазера</t>
  </si>
  <si>
    <t>Вагиф детали для ижа</t>
  </si>
  <si>
    <t>прокладки на компрессор</t>
  </si>
  <si>
    <t>интертекстиль за детали узла размотки</t>
  </si>
  <si>
    <t>кофепод за ремонт утюга</t>
  </si>
  <si>
    <t>переменка январь</t>
  </si>
  <si>
    <t>валере за мебель на 2 этаж</t>
  </si>
  <si>
    <t>Юре чпу февраль</t>
  </si>
  <si>
    <t>пружины на ТПИ и сверло на бинтомот</t>
  </si>
  <si>
    <t>деловые за доставку частотников</t>
  </si>
  <si>
    <t>столещницы</t>
  </si>
  <si>
    <t>градусник за фасад кубовки</t>
  </si>
  <si>
    <t>интертекстиль</t>
  </si>
  <si>
    <t>Эдуард за проточку валов</t>
  </si>
  <si>
    <t>интертекстиль по 3 счетам</t>
  </si>
  <si>
    <t>типография за ремонт чего то</t>
  </si>
  <si>
    <t>Долта за крышки</t>
  </si>
  <si>
    <t>Сергей 2 запайщика</t>
  </si>
  <si>
    <t>ТПИ аванс за 52 СКЦП</t>
  </si>
  <si>
    <t>аргон и свар.смесь</t>
  </si>
  <si>
    <t>Илье за настройку принтера</t>
  </si>
  <si>
    <t>подшипники на клеемазалку</t>
  </si>
  <si>
    <t>вал на какое-то колёсико</t>
  </si>
  <si>
    <t>Иван Бинты, возврат за всякую мелочь</t>
  </si>
  <si>
    <t>аванс за листогиб</t>
  </si>
  <si>
    <t>фонарик</t>
  </si>
  <si>
    <t>Интертекстиль бинтомот</t>
  </si>
  <si>
    <t>Паша за печать для Юры</t>
  </si>
  <si>
    <t>Андрей Зайкин аванс за руку</t>
  </si>
  <si>
    <t>остаток за листогиб</t>
  </si>
  <si>
    <t>доставка и пнр по листогибу</t>
  </si>
  <si>
    <t>мотор редукторы на клеемазку</t>
  </si>
  <si>
    <t>меры шероховатости</t>
  </si>
  <si>
    <t>соберизавод профиля на клеемазалку</t>
  </si>
  <si>
    <t>СПЛиКОМ за лопаточки (Виталий Рин)</t>
  </si>
  <si>
    <t>прутки за металл на лопатки</t>
  </si>
  <si>
    <t>акетон на клеемазалку</t>
  </si>
  <si>
    <t>овен на клеемазалку</t>
  </si>
  <si>
    <t>мастеркам</t>
  </si>
  <si>
    <t>масло в листогиюб</t>
  </si>
  <si>
    <t>образцы шероховат</t>
  </si>
  <si>
    <t>Максим за 10 корпусов цилиндрических</t>
  </si>
  <si>
    <t>белтпарт ещё 2 моторредуктора на клеемазку</t>
  </si>
  <si>
    <t>СПЛиКОМ остаток</t>
  </si>
  <si>
    <t>лазкову за лазер всякой тестовой ффигни</t>
  </si>
  <si>
    <t>электричество февр</t>
  </si>
  <si>
    <t>пермь: болты и звёздочки</t>
  </si>
  <si>
    <t>виталий переходные гайки</t>
  </si>
  <si>
    <t>матрица</t>
  </si>
  <si>
    <t>лента на пилу</t>
  </si>
  <si>
    <t>ремни и шкивы на клеемазалку</t>
  </si>
  <si>
    <t>детали из 12мм на клеемазалку</t>
  </si>
  <si>
    <t>запрессовочные гайки</t>
  </si>
  <si>
    <t>лебёдка на терминатора</t>
  </si>
  <si>
    <t>электрика на терминатора</t>
  </si>
  <si>
    <t>барабаны на конвейеры, подши и т.д.</t>
  </si>
  <si>
    <t>Сапоненко за фигнюшку</t>
  </si>
  <si>
    <t>Антон за ремонт йогуртодавилки</t>
  </si>
  <si>
    <t>подши 6005 на клеемазку</t>
  </si>
  <si>
    <t>Глазков детали 6мм на клеемазку</t>
  </si>
  <si>
    <t>доставка матрицы</t>
  </si>
  <si>
    <t>два штангеля</t>
  </si>
  <si>
    <t>доставка мотор редукторов</t>
  </si>
  <si>
    <t>серёге за выгрузку</t>
  </si>
  <si>
    <t>резьбовые заклёпки</t>
  </si>
  <si>
    <t>какие то мелочи</t>
  </si>
  <si>
    <t>фильтры для нитки</t>
  </si>
  <si>
    <t>расходка</t>
  </si>
  <si>
    <t>ведро и плёнка</t>
  </si>
  <si>
    <t>метчик м6</t>
  </si>
  <si>
    <t>СОЖ на эрозию</t>
  </si>
  <si>
    <t>сверло корпусное</t>
  </si>
  <si>
    <t>разные мелочи</t>
  </si>
  <si>
    <t>Пётр. 6 матриц</t>
  </si>
  <si>
    <t>Валере аванс за сварку отрезки клеемазалки</t>
  </si>
  <si>
    <t>Алищеру за резьбы с сверловку</t>
  </si>
  <si>
    <t>прутки разное</t>
  </si>
  <si>
    <t xml:space="preserve">Юре чпу </t>
  </si>
  <si>
    <t>винтики</t>
  </si>
  <si>
    <t>Валере окончание за раму размотки</t>
  </si>
  <si>
    <t>Градус климата 12 штуцеров</t>
  </si>
  <si>
    <t>болты на клеемазалку</t>
  </si>
  <si>
    <t>пружины на терминатора</t>
  </si>
  <si>
    <t>Долта. Шлифовка пятаков, шлифовка 3 валов, шлифовка 7 валов</t>
  </si>
  <si>
    <t>интертекстиль за подачу бинта</t>
  </si>
  <si>
    <t>алишер за разборку бинтомота</t>
  </si>
  <si>
    <t>конвейерные ленты</t>
  </si>
  <si>
    <t>остаток за пневмовал</t>
  </si>
  <si>
    <t>подши 6202 на клеемазку</t>
  </si>
  <si>
    <t>прутки (труба на клеемазалку)</t>
  </si>
  <si>
    <t>Валера покраска бинтомота</t>
  </si>
  <si>
    <t>деловые доставка валов на клеемазалку</t>
  </si>
  <si>
    <t>цельсий за 4 фланца</t>
  </si>
  <si>
    <t>автопервый аванс 50% за 2 шестрени</t>
  </si>
  <si>
    <t>спликом 50% за 40 ножей</t>
  </si>
  <si>
    <t>материал на ножи</t>
  </si>
  <si>
    <t>алёне детале по клеемазалке</t>
  </si>
  <si>
    <t>синглкап за 20 шайбочек</t>
  </si>
  <si>
    <t xml:space="preserve">доставка пневмовала </t>
  </si>
  <si>
    <t>Валере аванс за сварку размотки</t>
  </si>
  <si>
    <t>стопорные кольца клеемазалка</t>
  </si>
  <si>
    <t>хз что</t>
  </si>
  <si>
    <t>Андрюхе заточка ножей</t>
  </si>
  <si>
    <t>Валера остаток за раму размотки</t>
  </si>
  <si>
    <t>нож Николай</t>
  </si>
  <si>
    <t>нож Константин</t>
  </si>
  <si>
    <t>эколайт аванс 50% за ножи и 3 вала</t>
  </si>
  <si>
    <t>алёне за панели размотки для клеемазки</t>
  </si>
  <si>
    <t>доставка валов</t>
  </si>
  <si>
    <t>Цельсий для Юры</t>
  </si>
  <si>
    <t>автопервый ост за 2 шестерни</t>
  </si>
  <si>
    <t>труба 25х25 для клеемазалки</t>
  </si>
  <si>
    <t>за токарник</t>
  </si>
  <si>
    <t>глазкому детали на клеемазалку</t>
  </si>
  <si>
    <t>прутки металл на клеемазалку</t>
  </si>
  <si>
    <t>телега</t>
  </si>
  <si>
    <t>Иван Бинты, за сварочник</t>
  </si>
  <si>
    <t>провод и вилка клеемазалка</t>
  </si>
  <si>
    <t>гибкая подводка клеемазалка</t>
  </si>
  <si>
    <t>отводы на клеемазалку</t>
  </si>
  <si>
    <t>винты клеемазалка</t>
  </si>
  <si>
    <t xml:space="preserve">резцы </t>
  </si>
  <si>
    <t>алишер помощь по клеемазалке</t>
  </si>
  <si>
    <t xml:space="preserve">шарниры </t>
  </si>
  <si>
    <t>наокнечники клеемазалка</t>
  </si>
  <si>
    <t>электрорасходка клеемазалка</t>
  </si>
  <si>
    <t>провод +автомат клеемазалка</t>
  </si>
  <si>
    <t>Глазков бак и корыто на клеемазку</t>
  </si>
  <si>
    <t>резьбы и подводка на бак</t>
  </si>
  <si>
    <t>нерж проволока</t>
  </si>
  <si>
    <t>термичка ножей</t>
  </si>
  <si>
    <t>круги</t>
  </si>
  <si>
    <t>аванс за бинтомот</t>
  </si>
  <si>
    <t>Ильмар шлифовка станины</t>
  </si>
  <si>
    <t>доставка ножей</t>
  </si>
  <si>
    <t xml:space="preserve">Алишер </t>
  </si>
  <si>
    <t>электрика на бинтомот</t>
  </si>
  <si>
    <t>валера аванс на третью раму</t>
  </si>
  <si>
    <t>андрей сварка бака от кемпера</t>
  </si>
  <si>
    <t>труба на горячий вал</t>
  </si>
  <si>
    <t>сверление нержи</t>
  </si>
  <si>
    <t>андрей установка розеток</t>
  </si>
  <si>
    <t>прутки заготовки на бинтомоты</t>
  </si>
  <si>
    <t>интертекстиль возмещение за электрику</t>
  </si>
  <si>
    <t>эколайт остаток за ножи</t>
  </si>
  <si>
    <t>интертекстиль за гнутое для 3 бинтомотов</t>
  </si>
  <si>
    <t>эконацпроект за 5 банджо переходов</t>
  </si>
  <si>
    <t>глазков резка на бинтомоты и клеемазалку</t>
  </si>
  <si>
    <t>палка ф35 на клеемазалку</t>
  </si>
  <si>
    <t>подши на клеемазалку</t>
  </si>
  <si>
    <t>дюраль на бинтомоты</t>
  </si>
  <si>
    <t>остаток Валере за раму полимеризации</t>
  </si>
  <si>
    <t>фреза</t>
  </si>
  <si>
    <t>подши на горячий вал</t>
  </si>
  <si>
    <t>цепь и звёзды</t>
  </si>
  <si>
    <t>Алишер помощь по бинтомоту</t>
  </si>
  <si>
    <t>Алишер переобувка парадеича</t>
  </si>
  <si>
    <t>Доставка вала</t>
  </si>
  <si>
    <t>расчёт по терминатору</t>
  </si>
  <si>
    <t>переделка плиты горячего вала</t>
  </si>
  <si>
    <t>интертекстиль, 3 верхних этажа</t>
  </si>
  <si>
    <t>интертекстиль сторонние работы</t>
  </si>
  <si>
    <t>Алёна за 3 эксцентриковых болта</t>
  </si>
  <si>
    <t xml:space="preserve">Иван бинты </t>
  </si>
  <si>
    <t>прктки доплата</t>
  </si>
  <si>
    <t>Фотометрия за винты</t>
  </si>
  <si>
    <t>коммуналка</t>
  </si>
  <si>
    <t>алишер помощь</t>
  </si>
  <si>
    <t>антенна</t>
  </si>
  <si>
    <t>разработка корпуса</t>
  </si>
  <si>
    <t>Алёна за кольца</t>
  </si>
  <si>
    <t>шарнирные головки</t>
  </si>
  <si>
    <t xml:space="preserve">разъёмы </t>
  </si>
  <si>
    <t>Серёге за терминатора</t>
  </si>
  <si>
    <t>Серёге аванс за электрику бинтомота</t>
  </si>
  <si>
    <t>роботмейкер за шестернб</t>
  </si>
  <si>
    <t>рубрукс за шлифовку блинов</t>
  </si>
  <si>
    <t>СОЖ и фильтры на нитку</t>
  </si>
  <si>
    <t>Юра станок</t>
  </si>
  <si>
    <t>антенны</t>
  </si>
  <si>
    <t>проточка горячего вала</t>
  </si>
  <si>
    <t>Кинко на клеемазалку</t>
  </si>
  <si>
    <t>клеемазалка ручки</t>
  </si>
  <si>
    <t>глазков пульты для клеемазалки и плита для размотки новая</t>
  </si>
  <si>
    <t>провода на освещение малярки</t>
  </si>
  <si>
    <t>продал печку</t>
  </si>
  <si>
    <t>спираль в печку</t>
  </si>
  <si>
    <t>тэны в новую порошковку</t>
  </si>
  <si>
    <t>СЗС шлифовка резины</t>
  </si>
  <si>
    <t>цельсий проф за оправку</t>
  </si>
  <si>
    <t>подшипники на бинтомот</t>
  </si>
  <si>
    <t>глазков резка</t>
  </si>
  <si>
    <t>пескобетон</t>
  </si>
  <si>
    <t>серёге на штучки для бинтомота</t>
  </si>
  <si>
    <t>прутки заготовка труба +болванка на корпус авианасоса</t>
  </si>
  <si>
    <t>Алишер заливка пола</t>
  </si>
  <si>
    <t>Алишер помощь</t>
  </si>
  <si>
    <t>Алишер переварка рамы размотки</t>
  </si>
  <si>
    <t>металл на порошковку</t>
  </si>
  <si>
    <t>глазков резка на порошковку</t>
  </si>
  <si>
    <t>глазков резка на РЖД</t>
  </si>
  <si>
    <t>аванс на трубу</t>
  </si>
  <si>
    <t>Иван моделирование корпуса насоса</t>
  </si>
  <si>
    <t>Иван аванс корпуса</t>
  </si>
  <si>
    <t>Инифорс - за шильды</t>
  </si>
  <si>
    <t>остаток по пульту Юнифорс</t>
  </si>
  <si>
    <t>Юнифорс аванс на пульт</t>
  </si>
  <si>
    <t>Фёдор Сулимов за корпус насоса</t>
  </si>
  <si>
    <t>Иван Посников за корпус насоса</t>
  </si>
  <si>
    <t>аванс за 3 шлицевых муфты</t>
  </si>
  <si>
    <t>шкаф на клеемазалку</t>
  </si>
  <si>
    <t>вал</t>
  </si>
  <si>
    <t>всякие мелочи</t>
  </si>
  <si>
    <t>резка запайщиков</t>
  </si>
  <si>
    <t>Алишер аванс за порошковку</t>
  </si>
  <si>
    <t>аванс за 3 шлицевые муфты</t>
  </si>
  <si>
    <t>электрика на клеемазалку</t>
  </si>
  <si>
    <t>присадил шкив</t>
  </si>
  <si>
    <t>валера за резьбые заклёпки</t>
  </si>
  <si>
    <t>металл на валы и муфты</t>
  </si>
  <si>
    <t>аванс на валы и муфты</t>
  </si>
  <si>
    <t>уролотил вал</t>
  </si>
  <si>
    <t>круги на болгарку</t>
  </si>
  <si>
    <t>всякое на печку</t>
  </si>
  <si>
    <t>электроника на печку</t>
  </si>
  <si>
    <t>алишер остаток за печку</t>
  </si>
  <si>
    <t>саид за печку</t>
  </si>
  <si>
    <t>глазков резка на печку</t>
  </si>
  <si>
    <t>всеинстр лотки на клеемазалку</t>
  </si>
  <si>
    <t>пильные ленты</t>
  </si>
  <si>
    <t>подкраска для БЛ</t>
  </si>
  <si>
    <t>прутки, три новых вала</t>
  </si>
  <si>
    <t>зенковки</t>
  </si>
  <si>
    <t>краска на БЛ</t>
  </si>
  <si>
    <t>глазков резка плачтинок и покраска БЛ</t>
  </si>
  <si>
    <t>турок за валы, проставки и муфты</t>
  </si>
  <si>
    <t>три блина на эконацпроект</t>
  </si>
  <si>
    <t>сальники на клеемазалку</t>
  </si>
  <si>
    <t>электрика по клеемазалке</t>
  </si>
  <si>
    <t>сорокину на озон по клеемазалке</t>
  </si>
  <si>
    <t>ещё раз</t>
  </si>
  <si>
    <t>труба кондея</t>
  </si>
  <si>
    <t>расходна на кондей</t>
  </si>
  <si>
    <t>кондей</t>
  </si>
  <si>
    <t>сож</t>
  </si>
  <si>
    <t>Юре станок</t>
  </si>
  <si>
    <t>замок на печку</t>
  </si>
  <si>
    <t>болты на БЛ</t>
  </si>
  <si>
    <t>ящик для печки</t>
  </si>
  <si>
    <t>ремонт печки</t>
  </si>
  <si>
    <t>доставка печки</t>
  </si>
  <si>
    <t>термичка вала Эдуарду и шлицевых муфт эконац</t>
  </si>
  <si>
    <t>эдуард шлифовка валов</t>
  </si>
  <si>
    <t>30.70.2024</t>
  </si>
  <si>
    <t>прутки металл на Ротор</t>
  </si>
  <si>
    <t>аванс за ротор</t>
  </si>
  <si>
    <t>Рубрукс шлифовка</t>
  </si>
  <si>
    <t>эконацпроект пальцы</t>
  </si>
  <si>
    <t>клеемазалка электрошкаф на лазер</t>
  </si>
  <si>
    <t>евгений резка крышек на БЛ</t>
  </si>
  <si>
    <t>металл на крышки</t>
  </si>
  <si>
    <t>гайки на БЛ</t>
  </si>
  <si>
    <t>Юре за станок</t>
  </si>
  <si>
    <t>сверло</t>
  </si>
  <si>
    <t>мелочи по клеемазалке</t>
  </si>
  <si>
    <t>шлицевая муфта</t>
  </si>
  <si>
    <t>заготовки на Ротор</t>
  </si>
  <si>
    <t>доп.электрика по бинтомоту</t>
  </si>
  <si>
    <t>шлифовка стола сверлилки</t>
  </si>
  <si>
    <t>кран на эрозию</t>
  </si>
  <si>
    <t>шкивы на энкодер клеемазки</t>
  </si>
  <si>
    <t>Глазков покраска БЛ</t>
  </si>
  <si>
    <t>Шагпластик аванс за ремонт шнека</t>
  </si>
  <si>
    <t>сверла</t>
  </si>
  <si>
    <t>Сергей чпу сокольники за резку шпонпаза</t>
  </si>
  <si>
    <t>Сергей чпу сокольники за три плиты (должен 3000)</t>
  </si>
  <si>
    <t>гайки закладные на клеемазалку</t>
  </si>
  <si>
    <t>ТПИ за разработку стенда (из 35тыс)</t>
  </si>
  <si>
    <t>Шагпластик остаток за ремонт шнека</t>
  </si>
  <si>
    <t>всякое на клеемазалку</t>
  </si>
  <si>
    <t>сергей чпу сокоьники, остаток</t>
  </si>
  <si>
    <t>Ваган, аванс за 2 шарнира</t>
  </si>
  <si>
    <t>ПМТиК за кучу дюралевых деталей</t>
  </si>
  <si>
    <t>сдал металл</t>
  </si>
  <si>
    <t>ПИРСС аванс за 3 корпуса (из 60к)</t>
  </si>
  <si>
    <t>частотник на насос клеемазалки</t>
  </si>
  <si>
    <t>платка до рязани</t>
  </si>
  <si>
    <t>топливо</t>
  </si>
  <si>
    <t>глазков железки на ППК-Э</t>
  </si>
  <si>
    <t>пластинки на сверло</t>
  </si>
  <si>
    <t>Вагиф сварка вощдухана</t>
  </si>
  <si>
    <t>железки на ППК-Э</t>
  </si>
  <si>
    <t>патрон сверлилка</t>
  </si>
  <si>
    <t>сверлилка</t>
  </si>
  <si>
    <t>ножи на бинтомот</t>
  </si>
  <si>
    <t>какието мелочи</t>
  </si>
  <si>
    <t>прокладки на клеемазалку</t>
  </si>
  <si>
    <t>манометр и центровка</t>
  </si>
  <si>
    <t>выезд лазермэна</t>
  </si>
  <si>
    <t>краска на ППК-Э</t>
  </si>
  <si>
    <t>КБ Механика резка пазов в запайзиках</t>
  </si>
  <si>
    <t>Ваган, аванс за 8 шарниров +2 плиты</t>
  </si>
  <si>
    <t>лёха сервис мануактура</t>
  </si>
  <si>
    <t>сан саныч корыто</t>
  </si>
  <si>
    <t>илья захаров доп.аванс</t>
  </si>
  <si>
    <t>доставка ППК-Э на шелкуху</t>
  </si>
  <si>
    <t>остаток за корпуса ППК-Э</t>
  </si>
  <si>
    <t>шелкуха на ППК-Э</t>
  </si>
  <si>
    <t>ТПИ остаток за чтенд</t>
  </si>
  <si>
    <t>ТПИ за ремонт БЛ</t>
  </si>
  <si>
    <t>Эконацпроект за шлифовку сайлентов</t>
  </si>
  <si>
    <t>глазков за резку корыта александру и юре</t>
  </si>
  <si>
    <t>фильтр на клеемазалку</t>
  </si>
  <si>
    <t>егор заточка ножей</t>
  </si>
  <si>
    <t>градусник за панели</t>
  </si>
  <si>
    <t>погонники за модель</t>
  </si>
  <si>
    <t>эконацпроект за сварку</t>
  </si>
  <si>
    <t>синглкап за заточку ножей</t>
  </si>
  <si>
    <t>парадеич за хранение смарта</t>
  </si>
  <si>
    <t>набор для кмдшек</t>
  </si>
  <si>
    <t>Ваган остаток за шарниры</t>
  </si>
  <si>
    <t>Эконацпроект за резину</t>
  </si>
  <si>
    <t>регат тайм. Аванс 50% за погонный станок</t>
  </si>
  <si>
    <t>денису резка на синусную плиту, вагана и погонный станок</t>
  </si>
  <si>
    <t>мелочи на погонный станок</t>
  </si>
  <si>
    <t>линейный подш на погонный станок</t>
  </si>
  <si>
    <t xml:space="preserve">направляющие </t>
  </si>
  <si>
    <t>Алёне за резину</t>
  </si>
  <si>
    <t>сергей, резка запайщиков 5 комплектов по 5500</t>
  </si>
  <si>
    <t>Ваган за плиту +термичку</t>
  </si>
  <si>
    <t>микронная головка</t>
  </si>
  <si>
    <t>ПИРСС аванс за 2 ППК-Э, и по 3 арма и сервера</t>
  </si>
  <si>
    <t>датчики на клеемазку</t>
  </si>
  <si>
    <t>металл на ППК-Э +антресоль</t>
  </si>
  <si>
    <t>Сане за термичку и нутромен</t>
  </si>
  <si>
    <t>доставка плит от сани</t>
  </si>
  <si>
    <t xml:space="preserve">ТПИ промаванс за СКЦП </t>
  </si>
  <si>
    <t>заклёпочник</t>
  </si>
  <si>
    <t>Игорь эконацпроект за штуцеры</t>
  </si>
  <si>
    <t>анурьев продал</t>
  </si>
  <si>
    <t>алишер аванс за антресоль</t>
  </si>
  <si>
    <t>шагпластик за два конца шнека</t>
  </si>
  <si>
    <t>интертекстиль закрылись по бинтоммоту</t>
  </si>
  <si>
    <t>электроника бинтомот</t>
  </si>
  <si>
    <t>глазкову за резку корпусов на чайник</t>
  </si>
  <si>
    <t>егору за шлифовку синусной плиты</t>
  </si>
  <si>
    <t>валере за подстолье для погонного станка</t>
  </si>
  <si>
    <t>сереге доляна за бинтомот</t>
  </si>
  <si>
    <t>выезд инженера по ремонту лазера</t>
  </si>
  <si>
    <t>подши на погонный станок</t>
  </si>
  <si>
    <t>Ваган аванс на плиты</t>
  </si>
  <si>
    <t>ваган аванс за плиты</t>
  </si>
  <si>
    <t>насос на клеемазалку</t>
  </si>
  <si>
    <t>пневма на клеемазалку</t>
  </si>
  <si>
    <t>прокладки, шланги и прочее на клеемазалку</t>
  </si>
  <si>
    <t>алишеру за антресоль</t>
  </si>
  <si>
    <t>алишер снегоуборщик</t>
  </si>
  <si>
    <t>глазщков резка на БХВ</t>
  </si>
  <si>
    <t>метизы на БХВ</t>
  </si>
  <si>
    <t>резинки на БХВ</t>
  </si>
  <si>
    <t>валера аванс за сварку БХВ</t>
  </si>
  <si>
    <t>Паша за гайки для БХВ</t>
  </si>
  <si>
    <t>Дёмкин аванс за 10+10 кронштейнов</t>
  </si>
  <si>
    <t>Михаил за фрезеровку звёзд смерти, боковин и уголков</t>
  </si>
  <si>
    <t>ТПИ промаванс за БХВ</t>
  </si>
  <si>
    <t>ММР ремонт снегоуборщика</t>
  </si>
  <si>
    <t>пистолет порошковый</t>
  </si>
  <si>
    <t>столешница на погонный станок</t>
  </si>
  <si>
    <t>глазкову, резка на Дёмкина и педаль на погонный</t>
  </si>
  <si>
    <t>Паше за резку резины на чайники</t>
  </si>
  <si>
    <t>подши на волнушку</t>
  </si>
  <si>
    <t>нержа на волнушки</t>
  </si>
  <si>
    <t>проушины на погонный</t>
  </si>
  <si>
    <t>нерж пруток 14 на погонный</t>
  </si>
  <si>
    <t>тэны на клеемазалку</t>
  </si>
  <si>
    <t>Дёмкин остаток по нерж кронштейнам</t>
  </si>
  <si>
    <t>Дёмкин аванс за 10 кронов из чернины</t>
  </si>
  <si>
    <t>мотор редуктор на волнователь</t>
  </si>
  <si>
    <t>Ваган</t>
  </si>
  <si>
    <t>Денис резка на волнователь</t>
  </si>
  <si>
    <t>Михаил фрезеровка 30хгса</t>
  </si>
  <si>
    <t>Глазков, резка коробки для кинки</t>
  </si>
  <si>
    <t xml:space="preserve">алишеру </t>
  </si>
  <si>
    <t>валере за сварку коробок на чайники</t>
  </si>
  <si>
    <t>тэны и прочее</t>
  </si>
  <si>
    <t>что то</t>
  </si>
  <si>
    <t>Глазкову: покраска подстолья погонного и резка на сервер</t>
  </si>
  <si>
    <t>Денис, резка 20мм для Вагана</t>
  </si>
  <si>
    <t>4 морковины</t>
  </si>
  <si>
    <t>артём шелкуха на корпуса</t>
  </si>
  <si>
    <t>коробюки</t>
  </si>
  <si>
    <t>прутки (заготовки на калибры</t>
  </si>
  <si>
    <t>гранёв за 20 открывашек</t>
  </si>
  <si>
    <t>доставка из шелкографии</t>
  </si>
  <si>
    <t>глапзков за открывашки</t>
  </si>
  <si>
    <t>доставка морковин</t>
  </si>
  <si>
    <t>коробки картонные</t>
  </si>
  <si>
    <t>распылитель</t>
  </si>
  <si>
    <t>Ваган остаток за кубы</t>
  </si>
  <si>
    <t>Ваган аванс за стойку</t>
  </si>
  <si>
    <t>аванс за калибры</t>
  </si>
  <si>
    <t>Валера сварка кронштейнов дёмкину</t>
  </si>
  <si>
    <t>валера авнс за рубку нержи</t>
  </si>
  <si>
    <t>аргрон</t>
  </si>
  <si>
    <t>ТПИ очередной аванс</t>
  </si>
  <si>
    <t>Эконацпроект за волнушки</t>
  </si>
  <si>
    <t>ПИРСС за 3 сервера, 3 арм и 2 ППК</t>
  </si>
  <si>
    <t>ИЭС за шпильки и шайбы</t>
  </si>
  <si>
    <t>центр</t>
  </si>
  <si>
    <t>шглазков шайбы</t>
  </si>
  <si>
    <t>алёна колёса на волнователь</t>
  </si>
  <si>
    <t>Паша \</t>
  </si>
  <si>
    <t>клапан</t>
  </si>
  <si>
    <t>доставка осушителя</t>
  </si>
  <si>
    <t>пескоструйка</t>
  </si>
  <si>
    <t>стеклошарики</t>
  </si>
  <si>
    <t>купершлак</t>
  </si>
  <si>
    <t>регат тайм ост за станок</t>
  </si>
  <si>
    <t>графитэл ост за калибры</t>
  </si>
  <si>
    <t>ваган аванс за рамки датчиков</t>
  </si>
  <si>
    <t>ваган ост за стойку</t>
  </si>
  <si>
    <t>ост регат тайм</t>
  </si>
  <si>
    <t>пружины на БХВ</t>
  </si>
  <si>
    <t>компрессор и ресивер</t>
  </si>
  <si>
    <t>алёна за резку</t>
  </si>
  <si>
    <t>цельсий для юры</t>
  </si>
  <si>
    <t>пневматика</t>
  </si>
  <si>
    <t xml:space="preserve">масло </t>
  </si>
  <si>
    <t>пакеты</t>
  </si>
  <si>
    <t>компрессор доставка</t>
  </si>
  <si>
    <t>хомуты</t>
  </si>
  <si>
    <t>глазков резка всякого</t>
  </si>
  <si>
    <t>глазков резка на клеемазалку</t>
  </si>
  <si>
    <t>алишер за волнушки (из 50 000)</t>
  </si>
  <si>
    <t>валера сварка на чайники</t>
  </si>
  <si>
    <t>тент в цех</t>
  </si>
  <si>
    <t>Валера рубка полосок</t>
  </si>
  <si>
    <t>Алишер волнушки</t>
  </si>
  <si>
    <t>Алишер песочка</t>
  </si>
  <si>
    <t>русхим за стружки</t>
  </si>
  <si>
    <t>Эконац остаток щза волнушки</t>
  </si>
  <si>
    <t>ПИРСС хз за что</t>
  </si>
  <si>
    <t>Синглкап за 6 мещалок</t>
  </si>
  <si>
    <t>возврат за стеклошарики</t>
  </si>
  <si>
    <t>аренда дек</t>
  </si>
  <si>
    <t>пневматика на пресс</t>
  </si>
  <si>
    <t>ролик Регат Тайм</t>
  </si>
  <si>
    <t>электричество дек.</t>
  </si>
  <si>
    <t>чип и дип</t>
  </si>
  <si>
    <t>алишер за помост</t>
  </si>
  <si>
    <t>алюминий на помост</t>
  </si>
  <si>
    <t>наладка чпу</t>
  </si>
  <si>
    <t>ваган за маркировку</t>
  </si>
  <si>
    <t>валера аванс за переделку дырок на БХВ</t>
  </si>
  <si>
    <t>смыслов за точилку</t>
  </si>
  <si>
    <t>эконацпроект за проставочные кольца</t>
  </si>
  <si>
    <t>алёна за резку на гриндер</t>
  </si>
  <si>
    <t>краны на клеемазалку</t>
  </si>
  <si>
    <t>сдэк за пневматику</t>
  </si>
  <si>
    <t>сверло т\с</t>
  </si>
  <si>
    <t>Валере за переделку дырок на БХВ</t>
  </si>
  <si>
    <t>ригшеля на гриндер</t>
  </si>
  <si>
    <t>Цельсий для юры</t>
  </si>
  <si>
    <t>ТПИ промаванс за хвосты</t>
  </si>
  <si>
    <t>прутки за материал на 2 вала</t>
  </si>
  <si>
    <t>валера переделка чайников</t>
  </si>
  <si>
    <t>алишер аванс</t>
  </si>
  <si>
    <t>аванс за метал для эдуарда и на большие железки хвостов</t>
  </si>
  <si>
    <t>денис резка на пресс 16мм</t>
  </si>
  <si>
    <t>доплата за металл</t>
  </si>
  <si>
    <t>алёна резка пластин на ТПИ</t>
  </si>
  <si>
    <t>хз</t>
  </si>
  <si>
    <t>электричество янв</t>
  </si>
  <si>
    <t>ваган опоры</t>
  </si>
  <si>
    <t xml:space="preserve">гайки </t>
  </si>
  <si>
    <t>резка ваган, тпи и на синусную</t>
  </si>
  <si>
    <t>фитинги</t>
  </si>
  <si>
    <t>трубка</t>
  </si>
  <si>
    <t>кронштейн монитора</t>
  </si>
  <si>
    <t>кронштейн камеры</t>
  </si>
  <si>
    <t>плашка</t>
  </si>
  <si>
    <t>присадка</t>
  </si>
  <si>
    <t>чехол на шланг</t>
  </si>
  <si>
    <t>интертекстиль аванс за бинтомот</t>
  </si>
  <si>
    <t>пильные полотна</t>
  </si>
  <si>
    <t>тумбочка</t>
  </si>
  <si>
    <t>разная жбонь</t>
  </si>
  <si>
    <t>Юре заготовки</t>
  </si>
  <si>
    <t>два насоса на шлифер</t>
  </si>
  <si>
    <t>пластинки</t>
  </si>
  <si>
    <t>Орехову</t>
  </si>
  <si>
    <t>станок янв.</t>
  </si>
  <si>
    <t>мелочёвка</t>
  </si>
  <si>
    <t>мотор на бинтомот</t>
  </si>
  <si>
    <t>смыслов</t>
  </si>
  <si>
    <t>алишер</t>
  </si>
  <si>
    <t>градусник за переходники</t>
  </si>
  <si>
    <t>корпус фильтра на клеемазку</t>
  </si>
  <si>
    <t>пневматика на клеемазалку</t>
  </si>
  <si>
    <t>шаговик на бинтомот</t>
  </si>
  <si>
    <t>Вова</t>
  </si>
  <si>
    <t>Федя</t>
  </si>
  <si>
    <t>Валера</t>
  </si>
  <si>
    <t>аккум на милку</t>
  </si>
  <si>
    <t>лотки под краску</t>
  </si>
  <si>
    <t>вова</t>
  </si>
  <si>
    <t>вытяжка для порошковки</t>
  </si>
  <si>
    <t>егор за резинки</t>
  </si>
  <si>
    <t>Каср шлифовка 19 дисков</t>
  </si>
  <si>
    <t>фильтры, проволока и сож для нитки</t>
  </si>
  <si>
    <t>пневма на грязнулю.</t>
  </si>
  <si>
    <t>реле на клеемазалку</t>
  </si>
  <si>
    <t>трубюа нерж на бинтомот</t>
  </si>
  <si>
    <t>алишщер за напыление</t>
  </si>
  <si>
    <t>мелочи</t>
  </si>
  <si>
    <t>тиски</t>
  </si>
  <si>
    <t>Эдуард, опоры подшей</t>
  </si>
  <si>
    <t>паша, резка прокладок</t>
  </si>
  <si>
    <t>фыанера</t>
  </si>
  <si>
    <t>питальник на клеемазалку</t>
  </si>
  <si>
    <t>Денис за металл для Эдуарда</t>
  </si>
  <si>
    <t>Овен аванс за оправки</t>
  </si>
  <si>
    <t>мовиком покраска</t>
  </si>
  <si>
    <t>мовиком усилители</t>
  </si>
  <si>
    <t>ростик резка мовиком и бинтомот</t>
  </si>
  <si>
    <t>краска и переходник для принтера</t>
  </si>
  <si>
    <t>всякое на бинтомот</t>
  </si>
  <si>
    <t>пркутки</t>
  </si>
  <si>
    <t>Эдуард фланцы и муфты</t>
  </si>
  <si>
    <t>Ростик резка на бинтомот</t>
  </si>
  <si>
    <t>Егору шлифовка</t>
  </si>
  <si>
    <t>труба на бинтомот</t>
  </si>
  <si>
    <t>ростик</t>
  </si>
  <si>
    <t>насос на шлифер</t>
  </si>
  <si>
    <t>Егору</t>
  </si>
  <si>
    <t>купешлак</t>
  </si>
  <si>
    <t>пила</t>
  </si>
  <si>
    <t>краска на клеемазалку</t>
  </si>
  <si>
    <t>Паша, пластик на грязнулю</t>
  </si>
  <si>
    <t>кран на плоскошлиф</t>
  </si>
  <si>
    <t>хз чо</t>
  </si>
  <si>
    <t>доставка краски на клеемазалку</t>
  </si>
  <si>
    <t>Иван Постников аванс за качалку</t>
  </si>
  <si>
    <t>алишеру за покраску</t>
  </si>
  <si>
    <t>Шагпластик 3 оснастки</t>
  </si>
  <si>
    <t>егор</t>
  </si>
  <si>
    <t>Овен остаток за оправки</t>
  </si>
  <si>
    <t>гофра</t>
  </si>
  <si>
    <t>лотки\</t>
  </si>
  <si>
    <t>оплётка и монтажные площадки</t>
  </si>
  <si>
    <t>иванычу за всякую хрень</t>
  </si>
  <si>
    <t>специзоляция аванс</t>
  </si>
  <si>
    <t>металл на детекторы</t>
  </si>
  <si>
    <t>дырокол</t>
  </si>
  <si>
    <t>ось мультификс</t>
  </si>
  <si>
    <t>охрана труда</t>
  </si>
  <si>
    <t>доставка металла</t>
  </si>
  <si>
    <t>пылесос</t>
  </si>
  <si>
    <t>переключатель</t>
  </si>
  <si>
    <t>Эдуард за доработку тормозов</t>
  </si>
  <si>
    <t>Интертекстиль окончание за бинтомот</t>
  </si>
  <si>
    <t>Интертекстиль аванс за бинтомот 3</t>
  </si>
  <si>
    <t>иванычу за бинтомот</t>
  </si>
  <si>
    <t>колечко</t>
  </si>
  <si>
    <t>юра</t>
  </si>
  <si>
    <t>разное на большой цех</t>
  </si>
  <si>
    <t>остаток за клеемазалку</t>
  </si>
  <si>
    <t>пневматика на угловысекач</t>
  </si>
  <si>
    <t>валере за угловычсекач</t>
  </si>
  <si>
    <t>цилиндр на угловысекач</t>
  </si>
  <si>
    <t xml:space="preserve">Юре </t>
  </si>
  <si>
    <t>приспособы для ИЧ</t>
  </si>
  <si>
    <t>доплата ТПИ (ост ~1300)</t>
  </si>
  <si>
    <t>егору</t>
  </si>
  <si>
    <t>Алишер за пневму</t>
  </si>
  <si>
    <t>Андрей за электричество</t>
  </si>
  <si>
    <t>аваес Специзоляция за 2 специю</t>
  </si>
  <si>
    <t>Сорокин за грязнулю</t>
  </si>
  <si>
    <t>сорокин бинтомот</t>
  </si>
  <si>
    <t>железки на листогиб</t>
  </si>
  <si>
    <t>эдуард болт</t>
  </si>
  <si>
    <t>Александр Долта за контактную сварку</t>
  </si>
  <si>
    <t>специзоляция ост по специи 2</t>
  </si>
  <si>
    <t>хз что налоговая</t>
  </si>
  <si>
    <t>металл на детекторы специя 3</t>
  </si>
  <si>
    <t>слава по детекротам специя 2</t>
  </si>
  <si>
    <t>лазер</t>
  </si>
  <si>
    <t>интертекстиль аванс за бинтомот 4</t>
  </si>
  <si>
    <t>ростик за резку мелочей</t>
  </si>
  <si>
    <t>ростик за ДФУ</t>
  </si>
  <si>
    <t>командировка в рязань</t>
  </si>
  <si>
    <t>ростик ДФУ</t>
  </si>
  <si>
    <t>сорокину за сварку</t>
  </si>
  <si>
    <t>Овен за 1\4 кулака</t>
  </si>
  <si>
    <t>Эконацпроект ремонт ступицы и новая ступица</t>
  </si>
  <si>
    <t>Игорю возврат</t>
  </si>
  <si>
    <t>Эконац пальцы (обн)</t>
  </si>
  <si>
    <t>полиэтилен</t>
  </si>
  <si>
    <t>специзоляция закрыли специю 3</t>
  </si>
  <si>
    <t>овен за 2\4 кулака</t>
  </si>
  <si>
    <t>Интертекстиль закрыли 3 машину</t>
  </si>
  <si>
    <t>Гурину за станок</t>
  </si>
  <si>
    <t>Иванычу доляна за машину 3</t>
  </si>
  <si>
    <t>херня по клеемазалке</t>
  </si>
  <si>
    <t>овен осеастка, шестерни</t>
  </si>
  <si>
    <t>зубчатые валы рубрукс</t>
  </si>
  <si>
    <t>электричестно</t>
  </si>
  <si>
    <t>овен</t>
  </si>
  <si>
    <t>электричествро</t>
  </si>
  <si>
    <t>латунь на овен</t>
  </si>
  <si>
    <t>мовиком жоподержалки</t>
  </si>
  <si>
    <t>гайковёрт</t>
  </si>
  <si>
    <t>углы на кондей</t>
  </si>
  <si>
    <t>кольца на штору</t>
  </si>
  <si>
    <t>переходник на вытяжку</t>
  </si>
  <si>
    <t>алишеру за вытяжку</t>
  </si>
  <si>
    <t>орехову</t>
  </si>
  <si>
    <t>эконацпроект</t>
  </si>
  <si>
    <t>Каср шлифовка 20 дисков</t>
  </si>
  <si>
    <t>егору за шлифовку</t>
  </si>
  <si>
    <t>Эдуард шлифовка</t>
  </si>
  <si>
    <t>забыл что</t>
  </si>
  <si>
    <t>интертекстиль закрыли 4 машину</t>
  </si>
  <si>
    <t>Овен</t>
  </si>
  <si>
    <t>резьба м2</t>
  </si>
  <si>
    <t>иванычу за бинтомот 4</t>
  </si>
  <si>
    <t>Алишщер аванс за забор</t>
  </si>
  <si>
    <t>материал на забор</t>
  </si>
  <si>
    <t>материал на этажерку</t>
  </si>
  <si>
    <t>материал на детекторы</t>
  </si>
  <si>
    <t>специзоляция аванс по специи 1</t>
  </si>
  <si>
    <t>орехов</t>
  </si>
  <si>
    <t>гильотина</t>
  </si>
  <si>
    <t>резка мдф</t>
  </si>
  <si>
    <t>доставка меттала на детекторы</t>
  </si>
  <si>
    <t>доставка гильотины</t>
  </si>
  <si>
    <t>доставка чпу</t>
  </si>
  <si>
    <t>чпу</t>
  </si>
  <si>
    <t>доставка забора</t>
  </si>
  <si>
    <t>алишеру за забор</t>
  </si>
  <si>
    <t>краска на забор</t>
  </si>
  <si>
    <t>аренда камеры на покраску</t>
  </si>
  <si>
    <t>комп на чпу</t>
  </si>
  <si>
    <t>хомуты специя 1</t>
  </si>
  <si>
    <t>плата на чпу</t>
  </si>
  <si>
    <t>пневматика на гильотину</t>
  </si>
  <si>
    <t>иванычу за сборку</t>
  </si>
  <si>
    <t>аванс за кронштейн</t>
  </si>
  <si>
    <t>вова за радиаторы</t>
  </si>
  <si>
    <t>специзоляция остаток по специи 1</t>
  </si>
  <si>
    <t>специзоляция аванс по специи 4</t>
  </si>
  <si>
    <t>металл на хомуты специя 4</t>
  </si>
  <si>
    <t>хомуты на специю 4</t>
  </si>
  <si>
    <t>доставка металла специя 4</t>
  </si>
  <si>
    <t>металл+резка специя 4</t>
  </si>
  <si>
    <t>поддоны, специя 4</t>
  </si>
  <si>
    <t>типография ремонт</t>
  </si>
  <si>
    <t>резец на шкив</t>
  </si>
  <si>
    <t>монитор</t>
  </si>
  <si>
    <t>провода на чпу</t>
  </si>
  <si>
    <t>бп на чпу</t>
  </si>
  <si>
    <t>электрика на чпу</t>
  </si>
  <si>
    <t>доляна иваныча за 1949</t>
  </si>
  <si>
    <t>доляна сорокина за 1949</t>
  </si>
  <si>
    <t>50% за горячий вал</t>
  </si>
  <si>
    <t>Слава по детекторам специя 4</t>
  </si>
  <si>
    <t>сергей запайщики</t>
  </si>
  <si>
    <t xml:space="preserve">Игорь эконац </t>
  </si>
  <si>
    <t>концевики</t>
  </si>
  <si>
    <t>заготовки на шестерню и романа ножи</t>
  </si>
  <si>
    <t>струбцины</t>
  </si>
  <si>
    <t>остаток по специи 4</t>
  </si>
  <si>
    <t>Валере за железки</t>
  </si>
  <si>
    <t>Иван , за качалку шага винта</t>
  </si>
  <si>
    <t>Артём ост. За кронштейн</t>
  </si>
  <si>
    <t>Ростик</t>
  </si>
  <si>
    <t>денис резка фланцев на импеллер</t>
  </si>
  <si>
    <t>слава</t>
  </si>
  <si>
    <t>овен на горячий вал</t>
  </si>
  <si>
    <t>на горячий вал</t>
  </si>
  <si>
    <t xml:space="preserve">хз что </t>
  </si>
  <si>
    <t>за 3 импеллера аванс</t>
  </si>
  <si>
    <t>прутки , материал всякое</t>
  </si>
  <si>
    <t>Каср шлифовка опорных дисков металл по 5000 за шт</t>
  </si>
  <si>
    <t>кернеры Старретт</t>
  </si>
  <si>
    <t>станок ноябрь</t>
  </si>
  <si>
    <t>ТПИ закрылись по СКЦП</t>
  </si>
  <si>
    <t>Техно аванс за гор.вал</t>
  </si>
  <si>
    <t>шестерня</t>
  </si>
  <si>
    <t>ост за гор вал</t>
  </si>
  <si>
    <t>доставка гор вала</t>
  </si>
  <si>
    <t>Алишщер и Саид за станок</t>
  </si>
  <si>
    <t>егор за станок</t>
  </si>
  <si>
    <t>антон за станок</t>
  </si>
  <si>
    <t>электричество дек</t>
  </si>
  <si>
    <t>продал печку и отдал егору</t>
  </si>
  <si>
    <t>балансировка импеллера Игорь</t>
  </si>
  <si>
    <t>техновент об</t>
  </si>
  <si>
    <t>резец и фрезы</t>
  </si>
  <si>
    <t>заготовки на проходной элемент клеемазалка</t>
  </si>
  <si>
    <t>проходной элемент клеемазалка</t>
  </si>
  <si>
    <t>латунь на клеемазалку</t>
  </si>
  <si>
    <t>Иван Постников за качалку.</t>
  </si>
  <si>
    <t>Ваган за бублик</t>
  </si>
  <si>
    <t>ремонт хуйни от дукато</t>
  </si>
  <si>
    <t>Цельсий за фланцы</t>
  </si>
  <si>
    <t>Цельсий за переходные пластины</t>
  </si>
  <si>
    <t>шлифовка ножа</t>
  </si>
  <si>
    <t xml:space="preserve">технеовент </t>
  </si>
  <si>
    <t>акон-техно корпуса 5 шт</t>
  </si>
  <si>
    <t>пруток нержи</t>
  </si>
  <si>
    <t>электроиспытания клеемазалки</t>
  </si>
  <si>
    <t>оправки БТ40</t>
  </si>
  <si>
    <t>Краеискатель</t>
  </si>
  <si>
    <t>Николай радиаторы</t>
  </si>
  <si>
    <t>какая-то хуйня</t>
  </si>
  <si>
    <t>акон-техно остаточ за корпуса</t>
  </si>
  <si>
    <t>остаток за тележку под холодильник</t>
  </si>
  <si>
    <t>материал на пальцы для шагпластик</t>
  </si>
  <si>
    <t>КБ Механика 1 запайщик</t>
  </si>
  <si>
    <t>баллон и редуктор на Орехова</t>
  </si>
  <si>
    <t>опрессовщик на орехова</t>
  </si>
  <si>
    <t>резка карбид кремния</t>
  </si>
  <si>
    <t>Эконац - 34 планки</t>
  </si>
  <si>
    <t>озон</t>
  </si>
  <si>
    <t>рустам за какие-то штучки</t>
  </si>
  <si>
    <t>дробь для песочки</t>
  </si>
  <si>
    <t>аквабласт</t>
  </si>
  <si>
    <t>сварка</t>
  </si>
  <si>
    <t>от вовы за сварку</t>
  </si>
  <si>
    <t>шагпластик: муфта, пальцы, вал</t>
  </si>
  <si>
    <t>обнизил свёрла</t>
  </si>
  <si>
    <t>шлифовка планок</t>
  </si>
  <si>
    <t>Эдуард (болт на шаут и 2 шестерни)</t>
  </si>
  <si>
    <t>расточка клипонов</t>
  </si>
  <si>
    <t>Рустам за воротки</t>
  </si>
  <si>
    <t>Юрий за лампу и прожектор</t>
  </si>
  <si>
    <t>Ростик резка на орехов стенд</t>
  </si>
  <si>
    <t>клиновые шайбы и муфты аванс</t>
  </si>
  <si>
    <t>нержавейка на муфты</t>
  </si>
  <si>
    <t>металл на проливочный стенд</t>
  </si>
  <si>
    <t>металлопласт</t>
  </si>
  <si>
    <t>нутромеры</t>
  </si>
  <si>
    <t>Акон-техно, Сергей за цангу</t>
  </si>
  <si>
    <t>Стас. Расточка карба и ресивера</t>
  </si>
  <si>
    <t>Максим аванс (из 86000) за шлифовку</t>
  </si>
  <si>
    <t>металл на стеллажи.</t>
  </si>
  <si>
    <t>приварка штуцеров на опрессовочный</t>
  </si>
  <si>
    <t>пруток нержи и резец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</si>
</sst>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9]General"/>
    <numFmt numFmtId="165" formatCode="dd/mm/yy;@"/>
    <numFmt numFmtId="166" formatCode="#,##0\ &quot;₽&quot;"/>
  </numFmts>
  <fonts count="11">
    <font>
      <sz val="10"/>
      <name val="Arial Cyr"/>
      <charset val="204"/>
    </font>
    <font>
      <b/>
      <sz val="12"/>
      <name val="Arial Cyr"/>
      <charset val="204"/>
    </font>
    <font>
      <b/>
      <sz val="12"/>
      <color indexed="53"/>
      <name val="Arial Cyr"/>
      <charset val="204"/>
    </font>
    <font>
      <b/>
      <sz val="12"/>
      <color indexed="10"/>
      <name val="Arial Cyr"/>
      <charset val="204"/>
    </font>
    <font>
      <b/>
      <sz val="10"/>
      <name val="Arial Cyr"/>
      <charset val="204"/>
    </font>
    <font>
      <sz val="10"/>
      <color theme="1"/>
      <name val="Arial Cyr"/>
      <charset val="204"/>
    </font>
    <font>
      <sz val="9"/>
      <name val="Arial Cyr"/>
      <charset val="204"/>
    </font>
    <font>
      <sz val="10"/>
      <name val="Arial Cyr"/>
      <charset val="204"/>
    </font>
    <font>
      <sz val="10"/>
      <color rgb="FFFF0000"/>
      <name val="Arial Cyr"/>
      <charset val="204"/>
    </font>
    <font>
      <sz val="11"/>
      <color rgb="FF000000"/>
      <name val="Yandex-sans"/>
    </font>
    <font>
      <b/>
      <sz val="11"/>
      <color rgb="FF000000"/>
      <name val="Yandex-sans"/>
    </font>
  </fonts>
  <fills count="1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FEFEF"/>
      </left>
      <right style="thin">
        <color indexed="64"/>
      </right>
      <top style="medium">
        <color rgb="FFEFEFEF"/>
      </top>
      <bottom style="medium">
        <color rgb="FFEFEFEF"/>
      </bottom>
      <diagonal/>
    </border>
    <border>
      <left style="thin">
        <color indexed="64"/>
      </left>
      <right style="thin">
        <color indexed="64"/>
      </right>
      <top style="medium">
        <color rgb="FFEFEFEF"/>
      </top>
      <bottom style="medium">
        <color rgb="FFEFEFEF"/>
      </bottom>
      <diagonal/>
    </border>
    <border>
      <left/>
      <right style="thin">
        <color indexed="64"/>
      </right>
      <top style="medium">
        <color rgb="FFEFEFEF"/>
      </top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5" fillId="0" borderId="0"/>
    <xf numFmtId="0" fontId="7" fillId="0" borderId="0"/>
  </cellStyleXfs>
  <cellXfs count="111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6" borderId="0" xfId="0" applyNumberFormat="1" applyFont="1" applyFill="1" applyAlignment="1">
      <alignment horizontal="center" vertical="center" wrapText="1"/>
    </xf>
    <xf numFmtId="4" fontId="1" fillId="5" borderId="0" xfId="0" applyNumberFormat="1" applyFont="1" applyFill="1" applyAlignment="1">
      <alignment horizontal="center" vertical="center" wrapText="1"/>
    </xf>
    <xf numFmtId="4" fontId="1" fillId="4" borderId="0" xfId="0" applyNumberFormat="1" applyFont="1" applyFill="1" applyAlignment="1">
      <alignment horizontal="center" vertical="center" wrapText="1"/>
    </xf>
    <xf numFmtId="4" fontId="0" fillId="7" borderId="0" xfId="0" applyNumberFormat="1" applyFill="1"/>
    <xf numFmtId="0" fontId="0" fillId="7" borderId="0" xfId="0" applyFill="1"/>
    <xf numFmtId="4" fontId="0" fillId="4" borderId="0" xfId="0" applyNumberFormat="1" applyFill="1"/>
    <xf numFmtId="0" fontId="0" fillId="4" borderId="0" xfId="0" applyFill="1"/>
    <xf numFmtId="0" fontId="0" fillId="8" borderId="0" xfId="0" applyFill="1"/>
    <xf numFmtId="4" fontId="0" fillId="8" borderId="0" xfId="0" applyNumberFormat="1" applyFill="1"/>
    <xf numFmtId="0" fontId="0" fillId="6" borderId="0" xfId="0" applyFill="1"/>
    <xf numFmtId="4" fontId="0" fillId="6" borderId="0" xfId="0" applyNumberFormat="1" applyFill="1"/>
    <xf numFmtId="4" fontId="0" fillId="9" borderId="0" xfId="0" applyNumberFormat="1" applyFill="1"/>
    <xf numFmtId="0" fontId="0" fillId="9" borderId="0" xfId="0" applyFill="1"/>
    <xf numFmtId="165" fontId="1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165" fontId="1" fillId="0" borderId="2" xfId="0" applyNumberFormat="1" applyFon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  <xf numFmtId="3" fontId="1" fillId="3" borderId="4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/>
    </xf>
    <xf numFmtId="3" fontId="4" fillId="8" borderId="3" xfId="0" applyNumberFormat="1" applyFont="1" applyFill="1" applyBorder="1" applyAlignment="1">
      <alignment horizontal="center" vertical="center"/>
    </xf>
    <xf numFmtId="3" fontId="4" fillId="0" borderId="3" xfId="2" applyNumberFormat="1" applyFont="1" applyBorder="1" applyAlignment="1">
      <alignment horizontal="center" vertical="center"/>
    </xf>
    <xf numFmtId="3" fontId="4" fillId="6" borderId="3" xfId="0" applyNumberFormat="1" applyFont="1" applyFill="1" applyBorder="1" applyAlignment="1">
      <alignment horizontal="center" vertical="center"/>
    </xf>
    <xf numFmtId="3" fontId="4" fillId="9" borderId="3" xfId="0" applyNumberFormat="1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/>
    </xf>
    <xf numFmtId="3" fontId="0" fillId="4" borderId="2" xfId="0" applyNumberFormat="1" applyFill="1" applyBorder="1" applyAlignment="1">
      <alignment horizontal="center"/>
    </xf>
    <xf numFmtId="3" fontId="0" fillId="8" borderId="2" xfId="0" applyNumberFormat="1" applyFill="1" applyBorder="1" applyAlignment="1">
      <alignment horizontal="center"/>
    </xf>
    <xf numFmtId="3" fontId="7" fillId="0" borderId="2" xfId="2" applyNumberForma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3" fontId="0" fillId="9" borderId="2" xfId="0" applyNumberFormat="1" applyFill="1" applyBorder="1" applyAlignment="1">
      <alignment horizontal="center"/>
    </xf>
    <xf numFmtId="3" fontId="0" fillId="7" borderId="2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0" borderId="2" xfId="2" applyFont="1" applyBorder="1" applyAlignment="1">
      <alignment horizontal="left"/>
    </xf>
    <xf numFmtId="0" fontId="7" fillId="0" borderId="2" xfId="2" applyBorder="1" applyAlignment="1">
      <alignment horizontal="left"/>
    </xf>
    <xf numFmtId="4" fontId="0" fillId="0" borderId="2" xfId="0" applyNumberFormat="1" applyBorder="1"/>
    <xf numFmtId="0" fontId="0" fillId="6" borderId="2" xfId="0" applyFill="1" applyBorder="1" applyAlignment="1">
      <alignment horizontal="left"/>
    </xf>
    <xf numFmtId="0" fontId="0" fillId="9" borderId="2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9" fillId="10" borderId="7" xfId="0" applyFont="1" applyFill="1" applyBorder="1" applyAlignment="1">
      <alignment horizontal="left" wrapText="1"/>
    </xf>
    <xf numFmtId="3" fontId="10" fillId="10" borderId="6" xfId="0" applyNumberFormat="1" applyFont="1" applyFill="1" applyBorder="1" applyAlignment="1">
      <alignment horizontal="center" vertical="center" wrapText="1"/>
    </xf>
    <xf numFmtId="3" fontId="9" fillId="10" borderId="7" xfId="0" applyNumberFormat="1" applyFont="1" applyFill="1" applyBorder="1" applyAlignment="1">
      <alignment horizontal="center" wrapText="1"/>
    </xf>
    <xf numFmtId="165" fontId="0" fillId="8" borderId="2" xfId="0" applyNumberFormat="1" applyFill="1" applyBorder="1" applyAlignment="1">
      <alignment horizontal="center"/>
    </xf>
    <xf numFmtId="165" fontId="7" fillId="0" borderId="2" xfId="2" applyNumberFormat="1" applyBorder="1" applyAlignment="1">
      <alignment horizontal="center"/>
    </xf>
    <xf numFmtId="165" fontId="0" fillId="6" borderId="2" xfId="0" applyNumberFormat="1" applyFill="1" applyBorder="1" applyAlignment="1">
      <alignment horizontal="center"/>
    </xf>
    <xf numFmtId="165" fontId="0" fillId="9" borderId="2" xfId="0" applyNumberForma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165" fontId="9" fillId="10" borderId="5" xfId="0" applyNumberFormat="1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vertical="center" wrapText="1"/>
    </xf>
    <xf numFmtId="166" fontId="1" fillId="6" borderId="1" xfId="0" applyNumberFormat="1" applyFont="1" applyFill="1" applyBorder="1" applyAlignment="1">
      <alignment horizontal="center" vertical="center" wrapText="1"/>
    </xf>
    <xf numFmtId="165" fontId="0" fillId="12" borderId="2" xfId="0" applyNumberFormat="1" applyFill="1" applyBorder="1" applyAlignment="1">
      <alignment horizontal="center"/>
    </xf>
    <xf numFmtId="3" fontId="4" fillId="12" borderId="3" xfId="0" applyNumberFormat="1" applyFont="1" applyFill="1" applyBorder="1" applyAlignment="1">
      <alignment horizontal="center" vertical="center"/>
    </xf>
    <xf numFmtId="3" fontId="0" fillId="12" borderId="2" xfId="0" applyNumberFormat="1" applyFill="1" applyBorder="1" applyAlignment="1">
      <alignment horizontal="center"/>
    </xf>
    <xf numFmtId="0" fontId="0" fillId="12" borderId="2" xfId="0" applyFill="1" applyBorder="1" applyAlignment="1">
      <alignment horizontal="left"/>
    </xf>
    <xf numFmtId="4" fontId="0" fillId="12" borderId="0" xfId="0" applyNumberFormat="1" applyFill="1"/>
    <xf numFmtId="0" fontId="0" fillId="12" borderId="0" xfId="0" applyFill="1"/>
    <xf numFmtId="165" fontId="0" fillId="0" borderId="0" xfId="0" applyNumberForma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0" fillId="13" borderId="2" xfId="0" applyNumberFormat="1" applyFill="1" applyBorder="1" applyAlignment="1">
      <alignment horizontal="center"/>
    </xf>
    <xf numFmtId="3" fontId="4" fillId="13" borderId="3" xfId="0" applyNumberFormat="1" applyFont="1" applyFill="1" applyBorder="1" applyAlignment="1">
      <alignment horizontal="center" vertical="center"/>
    </xf>
    <xf numFmtId="3" fontId="0" fillId="13" borderId="2" xfId="0" applyNumberFormat="1" applyFill="1" applyBorder="1" applyAlignment="1">
      <alignment horizontal="center"/>
    </xf>
    <xf numFmtId="0" fontId="0" fillId="13" borderId="2" xfId="0" applyFill="1" applyBorder="1" applyAlignment="1">
      <alignment horizontal="left"/>
    </xf>
    <xf numFmtId="4" fontId="0" fillId="13" borderId="0" xfId="0" applyNumberFormat="1" applyFill="1"/>
    <xf numFmtId="0" fontId="0" fillId="13" borderId="0" xfId="0" applyFill="1"/>
    <xf numFmtId="14" fontId="0" fillId="0" borderId="0" xfId="0" applyNumberFormat="1"/>
    <xf numFmtId="3" fontId="0" fillId="14" borderId="2" xfId="0" applyNumberFormat="1" applyFill="1" applyBorder="1" applyAlignment="1">
      <alignment horizontal="center"/>
    </xf>
    <xf numFmtId="0" fontId="0" fillId="14" borderId="2" xfId="0" applyFill="1" applyBorder="1" applyAlignment="1">
      <alignment horizontal="left"/>
    </xf>
    <xf numFmtId="3" fontId="0" fillId="15" borderId="2" xfId="0" applyNumberFormat="1" applyFill="1" applyBorder="1" applyAlignment="1">
      <alignment horizontal="center"/>
    </xf>
    <xf numFmtId="0" fontId="0" fillId="15" borderId="2" xfId="0" applyFill="1" applyBorder="1" applyAlignment="1">
      <alignment horizontal="left"/>
    </xf>
    <xf numFmtId="3" fontId="0" fillId="0" borderId="2" xfId="0" applyNumberFormat="1" applyBorder="1" applyAlignment="1">
      <alignment horizontal="left"/>
    </xf>
    <xf numFmtId="3" fontId="0" fillId="16" borderId="2" xfId="0" applyNumberFormat="1" applyFill="1" applyBorder="1" applyAlignment="1">
      <alignment horizontal="center"/>
    </xf>
    <xf numFmtId="0" fontId="0" fillId="16" borderId="2" xfId="0" applyFill="1" applyBorder="1" applyAlignment="1">
      <alignment horizontal="left"/>
    </xf>
    <xf numFmtId="3" fontId="0" fillId="17" borderId="2" xfId="0" applyNumberFormat="1" applyFill="1" applyBorder="1" applyAlignment="1">
      <alignment horizontal="center"/>
    </xf>
    <xf numFmtId="0" fontId="0" fillId="17" borderId="2" xfId="0" applyFill="1" applyBorder="1" applyAlignment="1">
      <alignment horizontal="left"/>
    </xf>
    <xf numFmtId="3" fontId="4" fillId="17" borderId="3" xfId="0" applyNumberFormat="1" applyFont="1" applyFill="1" applyBorder="1" applyAlignment="1">
      <alignment horizontal="center" vertical="center"/>
    </xf>
    <xf numFmtId="3" fontId="0" fillId="17" borderId="2" xfId="0" applyNumberFormat="1" applyFill="1" applyBorder="1" applyAlignment="1">
      <alignment horizontal="left"/>
    </xf>
    <xf numFmtId="165" fontId="9" fillId="0" borderId="5" xfId="0" applyNumberFormat="1" applyFont="1" applyBorder="1" applyAlignment="1">
      <alignment horizontal="center" wrapText="1"/>
    </xf>
    <xf numFmtId="3" fontId="10" fillId="0" borderId="6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wrapText="1"/>
    </xf>
    <xf numFmtId="0" fontId="9" fillId="0" borderId="7" xfId="0" applyFont="1" applyBorder="1" applyAlignment="1">
      <alignment horizontal="left" wrapText="1"/>
    </xf>
    <xf numFmtId="3" fontId="0" fillId="0" borderId="0" xfId="0" applyNumberFormat="1"/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3" xfId="0" applyBorder="1" applyAlignment="1">
      <alignment vertical="center"/>
    </xf>
    <xf numFmtId="3" fontId="0" fillId="0" borderId="1" xfId="0" applyNumberFormat="1" applyBorder="1" applyAlignment="1">
      <alignment horizontal="center"/>
    </xf>
    <xf numFmtId="3" fontId="0" fillId="12" borderId="1" xfId="0" applyNumberFormat="1" applyFill="1" applyBorder="1" applyAlignment="1">
      <alignment horizontal="center"/>
    </xf>
    <xf numFmtId="3" fontId="4" fillId="0" borderId="10" xfId="0" applyNumberFormat="1" applyFont="1" applyBorder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 wrapText="1"/>
    </xf>
    <xf numFmtId="2" fontId="6" fillId="11" borderId="1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0" xfId="0" applyFont="1" applyAlignment="1">
      <alignment horizontal="center" vertical="center" wrapText="1"/>
    </xf>
  </cellXfs>
  <cellStyles count="3">
    <cellStyle name="Excel Built-in Normal" xfId="1" xr:uid="{00000000-0005-0000-0000-000000000000}"/>
    <cellStyle name="Обычный" xfId="0" builtinId="0"/>
    <cellStyle name="Обычный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Мастерская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Приход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Лист1!$B$2:$B$6</c:f>
              <c:numCache>
                <c:formatCode>#,##0</c:formatCode>
                <c:ptCount val="5"/>
                <c:pt idx="0">
                  <c:v>1031550</c:v>
                </c:pt>
                <c:pt idx="1">
                  <c:v>3540824</c:v>
                </c:pt>
                <c:pt idx="2">
                  <c:v>3509497</c:v>
                </c:pt>
                <c:pt idx="3">
                  <c:v>4818296</c:v>
                </c:pt>
                <c:pt idx="4">
                  <c:v>10224883.649999999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C-4727-9B35-3920A84BBADD}"/>
            </c:ext>
          </c:extLst>
        </c:ser>
        <c:ser>
          <c:idx val="1"/>
          <c:order val="1"/>
          <c:tx>
            <c:v>Расход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Лист1!$A$2:$A$6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Лист1!$C$2:$C$6</c:f>
              <c:numCache>
                <c:formatCode>#,##0</c:formatCode>
                <c:ptCount val="5"/>
                <c:pt idx="0">
                  <c:v>535506</c:v>
                </c:pt>
                <c:pt idx="1">
                  <c:v>1839484</c:v>
                </c:pt>
                <c:pt idx="2">
                  <c:v>1735936.4</c:v>
                </c:pt>
                <c:pt idx="3">
                  <c:v>2491250.75</c:v>
                </c:pt>
                <c:pt idx="4">
                  <c:v>6327440.5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BC-4727-9B35-3920A84BB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2288"/>
        <c:axId val="520462616"/>
      </c:barChart>
      <c:lineChart>
        <c:grouping val="stacked"/>
        <c:varyColors val="0"/>
        <c:ser>
          <c:idx val="2"/>
          <c:order val="2"/>
          <c:tx>
            <c:v>Доход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Лист1!$A$2:$A$6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Лист1!$D$2:$D$6</c:f>
              <c:numCache>
                <c:formatCode>#,##0</c:formatCode>
                <c:ptCount val="5"/>
                <c:pt idx="0">
                  <c:v>496044</c:v>
                </c:pt>
                <c:pt idx="1">
                  <c:v>1701340</c:v>
                </c:pt>
                <c:pt idx="2">
                  <c:v>1773560.6</c:v>
                </c:pt>
                <c:pt idx="3">
                  <c:v>2327045.25</c:v>
                </c:pt>
                <c:pt idx="4">
                  <c:v>3897443.1499999985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BC-4727-9B35-3920A84BB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462288"/>
        <c:axId val="520462616"/>
      </c:lineChart>
      <c:catAx>
        <c:axId val="52046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462616"/>
        <c:crosses val="autoZero"/>
        <c:auto val="1"/>
        <c:lblAlgn val="ctr"/>
        <c:lblOffset val="100"/>
        <c:noMultiLvlLbl val="0"/>
      </c:catAx>
      <c:valAx>
        <c:axId val="52046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4622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5</xdr:row>
      <xdr:rowOff>133350</xdr:rowOff>
    </xdr:from>
    <xdr:to>
      <xdr:col>18</xdr:col>
      <xdr:colOff>95250</xdr:colOff>
      <xdr:row>29</xdr:row>
      <xdr:rowOff>23812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8E7C798-1D75-6DA5-1A15-2C07A2F6B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08D4-DCFE-4C9A-A62C-D8D2DD85DB33}">
  <sheetPr>
    <tabColor indexed="17"/>
  </sheetPr>
  <dimension ref="A1:I761"/>
  <sheetViews>
    <sheetView tabSelected="1" zoomScale="120" zoomScaleNormal="120" workbookViewId="0">
      <pane ySplit="3" topLeftCell="A43" activePane="bottomLeft" state="frozen"/>
      <selection pane="bottomLeft" activeCell="D81" sqref="D81"/>
    </sheetView>
  </sheetViews>
  <sheetFormatPr defaultRowHeight="12.75"/>
  <cols>
    <col min="1" max="1" width="16.85546875" style="20" customWidth="1"/>
    <col min="2" max="2" width="16.85546875" style="24" customWidth="1"/>
    <col min="3" max="3" width="16.85546875" style="33" customWidth="1"/>
    <col min="4" max="4" width="107.7109375" style="43" customWidth="1"/>
    <col min="5" max="5" width="12.42578125" style="3" customWidth="1"/>
    <col min="6" max="6" width="13.85546875" customWidth="1"/>
    <col min="9" max="9" width="9.140625" style="98"/>
  </cols>
  <sheetData>
    <row r="1" spans="1:9" s="2" customFormat="1" ht="24" customHeight="1">
      <c r="A1" s="17" t="s">
        <v>0</v>
      </c>
      <c r="B1" s="1" t="s">
        <v>1</v>
      </c>
      <c r="C1" s="22" t="s">
        <v>2</v>
      </c>
      <c r="D1" s="41" t="s">
        <v>3</v>
      </c>
      <c r="E1" s="61">
        <f ca="1">TODAY()-DATE(YEAR(TODAY()),1,1)</f>
        <v>96</v>
      </c>
      <c r="F1" s="105" t="s">
        <v>272</v>
      </c>
      <c r="G1" s="105"/>
      <c r="H1" s="105"/>
      <c r="I1" s="96"/>
    </row>
    <row r="2" spans="1:9" s="2" customFormat="1" ht="24" customHeight="1">
      <c r="A2" s="19"/>
      <c r="B2" s="23">
        <f>SUM(B4:B1061)</f>
        <v>6802079</v>
      </c>
      <c r="C2" s="32">
        <f>SUM(C4:C1061)</f>
        <v>6183007</v>
      </c>
      <c r="D2" s="42"/>
      <c r="E2" s="62">
        <f ca="1">B3/E1</f>
        <v>6448.666666666667</v>
      </c>
      <c r="F2" s="106" t="s">
        <v>274</v>
      </c>
      <c r="G2" s="106"/>
      <c r="H2" s="106"/>
      <c r="I2" s="97"/>
    </row>
    <row r="3" spans="1:9" s="2" customFormat="1" ht="24" customHeight="1">
      <c r="A3" s="19" t="s">
        <v>4</v>
      </c>
      <c r="B3" s="107">
        <f>B2-C2</f>
        <v>619072</v>
      </c>
      <c r="C3" s="107"/>
      <c r="D3" s="42"/>
      <c r="E3" s="62">
        <f ca="1">E2/8</f>
        <v>806.08333333333337</v>
      </c>
      <c r="F3" s="62">
        <f ca="1">E3*160</f>
        <v>128973.33333333334</v>
      </c>
      <c r="G3" s="105" t="s">
        <v>273</v>
      </c>
      <c r="H3" s="105"/>
      <c r="I3" s="97"/>
    </row>
    <row r="4" spans="1:9">
      <c r="A4" s="20">
        <v>46029</v>
      </c>
      <c r="C4" s="33">
        <v>15000</v>
      </c>
      <c r="D4" s="43" t="s">
        <v>3002</v>
      </c>
    </row>
    <row r="5" spans="1:9">
      <c r="C5" s="33">
        <v>10000</v>
      </c>
      <c r="D5" s="43" t="s">
        <v>3003</v>
      </c>
    </row>
    <row r="6" spans="1:9">
      <c r="C6" s="33">
        <v>15000</v>
      </c>
      <c r="D6" s="43" t="s">
        <v>3004</v>
      </c>
    </row>
    <row r="7" spans="1:9">
      <c r="C7" s="33">
        <v>6000</v>
      </c>
      <c r="D7" s="43" t="s">
        <v>201</v>
      </c>
    </row>
    <row r="8" spans="1:9">
      <c r="C8" s="33">
        <v>43920</v>
      </c>
      <c r="D8" s="43" t="s">
        <v>1718</v>
      </c>
    </row>
    <row r="9" spans="1:9">
      <c r="C9" s="33">
        <v>2000</v>
      </c>
      <c r="D9" s="43" t="s">
        <v>2463</v>
      </c>
    </row>
    <row r="10" spans="1:9">
      <c r="C10" s="33">
        <v>10900</v>
      </c>
      <c r="D10" s="43" t="s">
        <v>3005</v>
      </c>
    </row>
    <row r="11" spans="1:9">
      <c r="B11" s="24">
        <v>20000</v>
      </c>
      <c r="C11" s="33">
        <v>20000</v>
      </c>
      <c r="D11" s="43" t="s">
        <v>3006</v>
      </c>
    </row>
    <row r="12" spans="1:9">
      <c r="C12" s="33">
        <v>1250</v>
      </c>
      <c r="D12" s="43" t="s">
        <v>2463</v>
      </c>
    </row>
    <row r="13" spans="1:9">
      <c r="A13" s="20">
        <v>46041</v>
      </c>
      <c r="B13" s="24">
        <v>5000</v>
      </c>
      <c r="C13" s="33">
        <v>2000</v>
      </c>
      <c r="D13" s="43" t="s">
        <v>3007</v>
      </c>
    </row>
    <row r="14" spans="1:9">
      <c r="A14" s="20">
        <v>46048</v>
      </c>
      <c r="B14" s="24">
        <v>1149999</v>
      </c>
      <c r="C14" s="33">
        <v>115000</v>
      </c>
      <c r="D14" s="43" t="s">
        <v>3008</v>
      </c>
    </row>
    <row r="15" spans="1:9">
      <c r="C15" s="33">
        <v>4060</v>
      </c>
      <c r="D15" s="43" t="s">
        <v>3009</v>
      </c>
    </row>
    <row r="16" spans="1:9">
      <c r="C16" s="33">
        <v>2500</v>
      </c>
      <c r="D16" s="43" t="s">
        <v>3010</v>
      </c>
    </row>
    <row r="17" spans="1:4">
      <c r="C17" s="33">
        <v>7040</v>
      </c>
      <c r="D17" s="43" t="s">
        <v>3011</v>
      </c>
    </row>
    <row r="18" spans="1:4">
      <c r="C18" s="33">
        <v>3490</v>
      </c>
      <c r="D18" s="43" t="s">
        <v>3012</v>
      </c>
    </row>
    <row r="19" spans="1:4">
      <c r="A19" s="20">
        <v>46052</v>
      </c>
      <c r="C19" s="33">
        <v>977500</v>
      </c>
      <c r="D19" s="43" t="s">
        <v>3008</v>
      </c>
    </row>
    <row r="20" spans="1:4">
      <c r="A20" s="20">
        <v>46058</v>
      </c>
      <c r="C20" s="33">
        <v>14500</v>
      </c>
      <c r="D20" s="43" t="s">
        <v>2783</v>
      </c>
    </row>
    <row r="21" spans="1:4">
      <c r="A21" s="20">
        <v>46064</v>
      </c>
      <c r="B21" s="24">
        <v>50000</v>
      </c>
      <c r="D21" s="43" t="s">
        <v>3013</v>
      </c>
    </row>
    <row r="22" spans="1:4">
      <c r="A22" s="20">
        <v>46067</v>
      </c>
      <c r="B22" s="24">
        <v>70000</v>
      </c>
      <c r="D22" s="43" t="s">
        <v>3014</v>
      </c>
    </row>
    <row r="23" spans="1:4">
      <c r="A23" s="20">
        <v>46071</v>
      </c>
      <c r="B23" s="24">
        <v>6000</v>
      </c>
      <c r="D23" s="43" t="s">
        <v>3015</v>
      </c>
    </row>
    <row r="24" spans="1:4">
      <c r="B24" s="24">
        <v>20000</v>
      </c>
      <c r="C24" s="33">
        <v>2000</v>
      </c>
      <c r="D24" s="43" t="s">
        <v>3016</v>
      </c>
    </row>
    <row r="25" spans="1:4">
      <c r="A25" s="20">
        <v>46077</v>
      </c>
      <c r="C25" s="33">
        <v>15000</v>
      </c>
      <c r="D25" s="43" t="s">
        <v>2796</v>
      </c>
    </row>
    <row r="26" spans="1:4">
      <c r="A26" s="20">
        <v>46078</v>
      </c>
      <c r="B26" s="24">
        <v>30100</v>
      </c>
      <c r="C26" s="33">
        <v>3010</v>
      </c>
      <c r="D26" s="43" t="s">
        <v>3017</v>
      </c>
    </row>
    <row r="27" spans="1:4">
      <c r="A27" s="20">
        <v>46079</v>
      </c>
      <c r="B27" s="24">
        <v>10000</v>
      </c>
      <c r="D27" s="43" t="s">
        <v>3018</v>
      </c>
    </row>
    <row r="28" spans="1:4">
      <c r="A28" s="20">
        <v>46083</v>
      </c>
      <c r="B28" s="24">
        <v>2250000</v>
      </c>
      <c r="C28" s="33">
        <f>B28*0.1</f>
        <v>225000</v>
      </c>
      <c r="D28" s="43" t="s">
        <v>3019</v>
      </c>
    </row>
    <row r="29" spans="1:4">
      <c r="B29" s="24">
        <v>40000</v>
      </c>
      <c r="C29" s="33">
        <v>4000</v>
      </c>
      <c r="D29" s="43" t="s">
        <v>3020</v>
      </c>
    </row>
    <row r="30" spans="1:4">
      <c r="C30" s="33">
        <v>44000</v>
      </c>
      <c r="D30" s="43" t="s">
        <v>1718</v>
      </c>
    </row>
    <row r="31" spans="1:4">
      <c r="C31" s="33">
        <v>20000</v>
      </c>
      <c r="D31" s="43" t="s">
        <v>1554</v>
      </c>
    </row>
    <row r="32" spans="1:4">
      <c r="C32" s="33">
        <v>1000</v>
      </c>
      <c r="D32" s="43" t="s">
        <v>3021</v>
      </c>
    </row>
    <row r="33" spans="1:4">
      <c r="A33" s="20">
        <v>46084</v>
      </c>
      <c r="C33" s="33">
        <v>36000</v>
      </c>
      <c r="D33" s="43" t="s">
        <v>3022</v>
      </c>
    </row>
    <row r="34" spans="1:4">
      <c r="A34" s="20">
        <v>46085</v>
      </c>
      <c r="B34" s="24">
        <v>20000</v>
      </c>
      <c r="C34" s="33">
        <v>2000</v>
      </c>
      <c r="D34" s="43" t="s">
        <v>2918</v>
      </c>
    </row>
    <row r="35" spans="1:4">
      <c r="A35" s="20">
        <v>46087</v>
      </c>
      <c r="C35" s="33">
        <v>3500</v>
      </c>
      <c r="D35" s="43" t="s">
        <v>3023</v>
      </c>
    </row>
    <row r="36" spans="1:4">
      <c r="C36" s="33">
        <v>1300</v>
      </c>
      <c r="D36" s="43" t="s">
        <v>3024</v>
      </c>
    </row>
    <row r="37" spans="1:4">
      <c r="A37" s="20">
        <v>46088</v>
      </c>
      <c r="B37" s="24">
        <v>17000</v>
      </c>
      <c r="D37" s="43" t="s">
        <v>3025</v>
      </c>
    </row>
    <row r="38" spans="1:4">
      <c r="C38" s="33">
        <v>1912500</v>
      </c>
      <c r="D38" s="43" t="s">
        <v>3008</v>
      </c>
    </row>
    <row r="39" spans="1:4">
      <c r="A39" s="20">
        <v>46089</v>
      </c>
      <c r="C39" s="33">
        <v>4000</v>
      </c>
      <c r="D39" s="43" t="s">
        <v>3026</v>
      </c>
    </row>
    <row r="40" spans="1:4">
      <c r="A40" s="20">
        <v>46092</v>
      </c>
      <c r="B40" s="24">
        <v>54600</v>
      </c>
      <c r="C40" s="33">
        <v>5460</v>
      </c>
      <c r="D40" s="43" t="s">
        <v>3027</v>
      </c>
    </row>
    <row r="41" spans="1:4">
      <c r="B41" s="24">
        <v>20000</v>
      </c>
      <c r="D41" s="43" t="s">
        <v>3028</v>
      </c>
    </row>
    <row r="42" spans="1:4">
      <c r="C42" s="33">
        <v>3400</v>
      </c>
      <c r="D42" s="43" t="s">
        <v>3029</v>
      </c>
    </row>
    <row r="43" spans="1:4">
      <c r="B43" s="24">
        <v>6600</v>
      </c>
      <c r="C43" s="33">
        <v>600</v>
      </c>
      <c r="D43" s="43" t="s">
        <v>3030</v>
      </c>
    </row>
    <row r="44" spans="1:4">
      <c r="A44" s="20">
        <v>45729</v>
      </c>
      <c r="C44" s="33">
        <v>7500</v>
      </c>
      <c r="D44" s="99" t="s">
        <v>3031</v>
      </c>
    </row>
    <row r="45" spans="1:4">
      <c r="C45" s="33">
        <v>16000</v>
      </c>
      <c r="D45" s="99" t="s">
        <v>3032</v>
      </c>
    </row>
    <row r="46" spans="1:4">
      <c r="B46" s="24">
        <v>20000</v>
      </c>
      <c r="D46" s="99" t="s">
        <v>3033</v>
      </c>
    </row>
    <row r="47" spans="1:4">
      <c r="B47" s="24">
        <v>170000</v>
      </c>
      <c r="C47" s="33">
        <v>17000</v>
      </c>
      <c r="D47" s="43" t="s">
        <v>3034</v>
      </c>
    </row>
    <row r="48" spans="1:4">
      <c r="A48" s="20">
        <v>46098</v>
      </c>
      <c r="B48" s="24">
        <v>6600</v>
      </c>
      <c r="C48" s="33">
        <v>600</v>
      </c>
      <c r="D48" s="43" t="s">
        <v>2196</v>
      </c>
    </row>
    <row r="49" spans="1:4">
      <c r="C49" s="33">
        <v>4944</v>
      </c>
      <c r="D49" s="43" t="s">
        <v>1867</v>
      </c>
    </row>
    <row r="50" spans="1:4" ht="13.5" customHeight="1">
      <c r="C50" s="33">
        <v>5044</v>
      </c>
      <c r="D50" s="43" t="s">
        <v>3035</v>
      </c>
    </row>
    <row r="51" spans="1:4">
      <c r="C51" s="33">
        <v>1768</v>
      </c>
      <c r="D51" s="43" t="s">
        <v>3036</v>
      </c>
    </row>
    <row r="52" spans="1:4">
      <c r="A52" s="20">
        <v>46099</v>
      </c>
      <c r="C52" s="33">
        <v>6200</v>
      </c>
      <c r="D52" s="43" t="s">
        <v>3037</v>
      </c>
    </row>
    <row r="53" spans="1:4">
      <c r="C53" s="33">
        <v>5000</v>
      </c>
      <c r="D53" s="43" t="s">
        <v>3038</v>
      </c>
    </row>
    <row r="54" spans="1:4">
      <c r="A54" s="20">
        <v>46100</v>
      </c>
      <c r="C54" s="33">
        <v>3500</v>
      </c>
      <c r="D54" s="43" t="s">
        <v>3039</v>
      </c>
    </row>
    <row r="55" spans="1:4">
      <c r="B55" s="24">
        <v>8500</v>
      </c>
      <c r="D55" s="43" t="s">
        <v>3040</v>
      </c>
    </row>
    <row r="56" spans="1:4">
      <c r="B56" s="24">
        <v>74500</v>
      </c>
      <c r="C56" s="33">
        <v>7450</v>
      </c>
      <c r="D56" s="43" t="s">
        <v>3041</v>
      </c>
    </row>
    <row r="57" spans="1:4">
      <c r="A57" s="20">
        <v>46102</v>
      </c>
      <c r="B57" s="24">
        <v>10000</v>
      </c>
      <c r="D57" s="43" t="s">
        <v>3042</v>
      </c>
    </row>
    <row r="58" spans="1:4">
      <c r="B58" s="24">
        <v>2542180</v>
      </c>
      <c r="C58" s="33">
        <v>254218</v>
      </c>
      <c r="D58" s="43" t="s">
        <v>3008</v>
      </c>
    </row>
    <row r="59" spans="1:4">
      <c r="C59" s="33">
        <v>2160853</v>
      </c>
      <c r="D59" s="43" t="s">
        <v>3008</v>
      </c>
    </row>
    <row r="60" spans="1:4">
      <c r="A60" s="20">
        <v>46107</v>
      </c>
      <c r="B60" s="24">
        <v>6000</v>
      </c>
      <c r="D60" s="43" t="s">
        <v>3043</v>
      </c>
    </row>
    <row r="61" spans="1:4">
      <c r="B61" s="24">
        <v>25000</v>
      </c>
      <c r="C61" s="33">
        <v>2500</v>
      </c>
      <c r="D61" s="99" t="s">
        <v>3044</v>
      </c>
    </row>
    <row r="62" spans="1:4">
      <c r="B62" s="24">
        <v>10000</v>
      </c>
      <c r="D62" s="99" t="s">
        <v>3045</v>
      </c>
    </row>
    <row r="63" spans="1:4">
      <c r="A63" s="20">
        <v>46111</v>
      </c>
      <c r="C63" s="33">
        <v>14000</v>
      </c>
      <c r="D63" s="43" t="s">
        <v>3046</v>
      </c>
    </row>
    <row r="64" spans="1:4">
      <c r="C64" s="33">
        <v>3000</v>
      </c>
      <c r="D64" s="43" t="s">
        <v>3047</v>
      </c>
    </row>
    <row r="65" spans="1:4">
      <c r="C65" s="33">
        <v>8000</v>
      </c>
      <c r="D65" s="43" t="s">
        <v>3048</v>
      </c>
    </row>
    <row r="66" spans="1:4">
      <c r="B66" s="24">
        <v>40000</v>
      </c>
      <c r="C66" s="33">
        <v>4000</v>
      </c>
      <c r="D66" s="43" t="s">
        <v>3049</v>
      </c>
    </row>
    <row r="67" spans="1:4">
      <c r="C67" s="33">
        <v>7800</v>
      </c>
      <c r="D67" s="43" t="s">
        <v>3050</v>
      </c>
    </row>
    <row r="68" spans="1:4">
      <c r="A68" s="20">
        <v>46112</v>
      </c>
      <c r="C68" s="33">
        <v>2800</v>
      </c>
      <c r="D68" s="43" t="s">
        <v>1495</v>
      </c>
    </row>
    <row r="69" spans="1:4">
      <c r="C69" s="33">
        <v>2500</v>
      </c>
      <c r="D69" s="43" t="s">
        <v>2825</v>
      </c>
    </row>
    <row r="70" spans="1:4">
      <c r="C70" s="33">
        <v>1700</v>
      </c>
      <c r="D70" s="43" t="s">
        <v>3051</v>
      </c>
    </row>
    <row r="71" spans="1:4">
      <c r="A71" s="20">
        <v>46113</v>
      </c>
      <c r="C71" s="33">
        <v>9000</v>
      </c>
      <c r="D71" s="43" t="s">
        <v>3052</v>
      </c>
    </row>
    <row r="72" spans="1:4">
      <c r="C72" s="33">
        <v>14000</v>
      </c>
      <c r="D72" s="43" t="s">
        <v>3053</v>
      </c>
    </row>
    <row r="73" spans="1:4">
      <c r="B73" s="24">
        <v>33000</v>
      </c>
      <c r="C73" s="33">
        <v>3300</v>
      </c>
      <c r="D73" s="43" t="s">
        <v>3054</v>
      </c>
    </row>
    <row r="74" spans="1:4">
      <c r="A74" s="20">
        <v>46115</v>
      </c>
      <c r="B74" s="24">
        <v>67000</v>
      </c>
      <c r="D74" s="43" t="s">
        <v>3055</v>
      </c>
    </row>
    <row r="75" spans="1:4">
      <c r="B75" s="24">
        <v>20000</v>
      </c>
      <c r="D75" s="43" t="s">
        <v>3056</v>
      </c>
    </row>
    <row r="76" spans="1:4">
      <c r="A76" s="20">
        <v>46118</v>
      </c>
      <c r="C76" s="33">
        <v>44000</v>
      </c>
      <c r="D76" s="43" t="s">
        <v>1718</v>
      </c>
    </row>
    <row r="77" spans="1:4">
      <c r="C77" s="33">
        <v>6700</v>
      </c>
      <c r="D77" s="43" t="s">
        <v>1554</v>
      </c>
    </row>
    <row r="78" spans="1:4">
      <c r="C78" s="33">
        <v>29500</v>
      </c>
      <c r="D78" s="43" t="s">
        <v>3057</v>
      </c>
    </row>
    <row r="79" spans="1:4">
      <c r="A79" s="20">
        <v>46119</v>
      </c>
      <c r="C79" s="33">
        <v>4000</v>
      </c>
      <c r="D79" s="43" t="s">
        <v>3058</v>
      </c>
    </row>
    <row r="80" spans="1:4">
      <c r="C80" s="33">
        <v>3200</v>
      </c>
      <c r="D80" s="43" t="s">
        <v>3059</v>
      </c>
    </row>
    <row r="87" spans="4:4">
      <c r="D87" s="108"/>
    </row>
    <row r="88" spans="4:4">
      <c r="D88" s="108"/>
    </row>
    <row r="89" spans="4:4">
      <c r="D89" s="108"/>
    </row>
    <row r="90" spans="4:4">
      <c r="D90" s="108"/>
    </row>
    <row r="204" spans="3:3">
      <c r="C204" s="37"/>
    </row>
    <row r="217" spans="2:2">
      <c r="B217" s="33"/>
    </row>
    <row r="250" spans="2:4">
      <c r="B250" s="102"/>
      <c r="C250" s="100"/>
    </row>
    <row r="251" spans="2:4">
      <c r="B251" s="102"/>
      <c r="C251" s="101"/>
      <c r="D251" s="109"/>
    </row>
    <row r="252" spans="2:4">
      <c r="B252" s="102"/>
      <c r="C252" s="101"/>
      <c r="D252" s="109"/>
    </row>
    <row r="253" spans="2:4">
      <c r="B253" s="102"/>
      <c r="C253" s="101"/>
      <c r="D253" s="109"/>
    </row>
    <row r="254" spans="2:4">
      <c r="B254" s="102"/>
      <c r="C254" s="101"/>
      <c r="D254" s="109"/>
    </row>
    <row r="255" spans="2:4">
      <c r="B255" s="102"/>
      <c r="C255" s="101"/>
    </row>
    <row r="256" spans="2:4">
      <c r="B256" s="102"/>
      <c r="C256" s="101"/>
      <c r="D256" s="109"/>
    </row>
    <row r="257" spans="2:4">
      <c r="B257" s="102"/>
      <c r="C257" s="101"/>
      <c r="D257" s="109"/>
    </row>
    <row r="258" spans="2:4">
      <c r="B258" s="102"/>
      <c r="C258" s="101"/>
      <c r="D258" s="109"/>
    </row>
    <row r="259" spans="2:4">
      <c r="B259" s="102"/>
      <c r="C259" s="101"/>
      <c r="D259" s="109"/>
    </row>
    <row r="260" spans="2:4">
      <c r="B260" s="102"/>
      <c r="C260" s="101"/>
    </row>
    <row r="261" spans="2:4">
      <c r="B261" s="102"/>
      <c r="C261" s="101"/>
    </row>
    <row r="262" spans="2:4">
      <c r="B262" s="102"/>
      <c r="C262" s="101"/>
    </row>
    <row r="263" spans="2:4">
      <c r="B263" s="102"/>
      <c r="C263" s="101"/>
    </row>
    <row r="264" spans="2:4">
      <c r="B264" s="102"/>
      <c r="C264" s="101"/>
    </row>
    <row r="265" spans="2:4">
      <c r="B265" s="102"/>
      <c r="C265" s="101"/>
    </row>
    <row r="266" spans="2:4">
      <c r="B266" s="102"/>
      <c r="C266" s="101"/>
    </row>
    <row r="267" spans="2:4">
      <c r="B267" s="102"/>
      <c r="C267" s="100"/>
    </row>
    <row r="268" spans="2:4">
      <c r="B268" s="102"/>
      <c r="C268" s="103"/>
    </row>
    <row r="303" spans="4:4">
      <c r="D303" s="99"/>
    </row>
    <row r="304" spans="4:4">
      <c r="D304" s="99"/>
    </row>
    <row r="305" spans="4:4">
      <c r="D305" s="99"/>
    </row>
    <row r="342" spans="4:4">
      <c r="D342" s="108"/>
    </row>
    <row r="343" spans="4:4">
      <c r="D343" s="108"/>
    </row>
    <row r="344" spans="4:4">
      <c r="D344" s="108"/>
    </row>
    <row r="345" spans="4:4">
      <c r="D345" s="99"/>
    </row>
    <row r="346" spans="4:4">
      <c r="D346" s="99"/>
    </row>
    <row r="347" spans="4:4">
      <c r="D347" s="99"/>
    </row>
    <row r="357" spans="5:5">
      <c r="E357"/>
    </row>
    <row r="379" spans="4:4">
      <c r="D379" s="104"/>
    </row>
    <row r="380" spans="4:4">
      <c r="D380" s="104"/>
    </row>
    <row r="381" spans="4:4">
      <c r="D381" s="104"/>
    </row>
    <row r="382" spans="4:4">
      <c r="D382" s="104"/>
    </row>
    <row r="383" spans="4:4">
      <c r="D383" s="104"/>
    </row>
    <row r="384" spans="4:4">
      <c r="D384" s="104"/>
    </row>
    <row r="393" spans="4:4">
      <c r="D393" s="104"/>
    </row>
    <row r="394" spans="4:4">
      <c r="D394" s="104"/>
    </row>
    <row r="395" spans="4:4">
      <c r="D395" s="104"/>
    </row>
    <row r="396" spans="4:4">
      <c r="D396" s="104"/>
    </row>
    <row r="426" spans="4:4">
      <c r="D426" s="18"/>
    </row>
    <row r="427" spans="4:4">
      <c r="D427" s="18"/>
    </row>
    <row r="428" spans="4:4">
      <c r="D428" s="18"/>
    </row>
    <row r="429" spans="4:4">
      <c r="D429" s="18"/>
    </row>
    <row r="430" spans="4:4">
      <c r="D430" s="18"/>
    </row>
    <row r="431" spans="4:4">
      <c r="D431" s="18"/>
    </row>
    <row r="432" spans="4:4">
      <c r="D432" s="18"/>
    </row>
    <row r="433" spans="4:4">
      <c r="D433" s="18"/>
    </row>
    <row r="434" spans="4:4">
      <c r="D434" s="18"/>
    </row>
    <row r="435" spans="4:4">
      <c r="D435" s="18"/>
    </row>
    <row r="436" spans="4:4">
      <c r="D436" s="18"/>
    </row>
    <row r="437" spans="4:4">
      <c r="D437" s="18"/>
    </row>
    <row r="438" spans="4:4">
      <c r="D438" s="18"/>
    </row>
    <row r="439" spans="4:4">
      <c r="D439" s="18"/>
    </row>
    <row r="440" spans="4:4">
      <c r="D440" s="18"/>
    </row>
    <row r="441" spans="4:4">
      <c r="D441" s="18"/>
    </row>
    <row r="443" spans="4:4">
      <c r="D443" s="18"/>
    </row>
    <row r="444" spans="4:4">
      <c r="D444" s="18"/>
    </row>
    <row r="445" spans="4:4">
      <c r="D445" s="18"/>
    </row>
    <row r="446" spans="4:4">
      <c r="D446" s="18"/>
    </row>
    <row r="447" spans="4:4">
      <c r="D447" s="18"/>
    </row>
    <row r="448" spans="4:4">
      <c r="D448" s="18"/>
    </row>
    <row r="449" spans="4:4">
      <c r="D449" s="18"/>
    </row>
    <row r="450" spans="4:4">
      <c r="D450" s="18"/>
    </row>
    <row r="451" spans="4:4">
      <c r="D451" s="18"/>
    </row>
    <row r="452" spans="4:4">
      <c r="D452" s="18"/>
    </row>
    <row r="453" spans="4:4">
      <c r="D453" s="18"/>
    </row>
    <row r="454" spans="4:4">
      <c r="D454" s="18"/>
    </row>
    <row r="455" spans="4:4">
      <c r="D455" s="18"/>
    </row>
    <row r="456" spans="4:4">
      <c r="D456" s="18"/>
    </row>
    <row r="457" spans="4:4">
      <c r="D457" s="18"/>
    </row>
    <row r="458" spans="4:4">
      <c r="D458" s="18"/>
    </row>
    <row r="459" spans="4:4">
      <c r="D459" s="18"/>
    </row>
    <row r="460" spans="4:4">
      <c r="D460" s="18"/>
    </row>
    <row r="461" spans="4:4">
      <c r="D461" s="18"/>
    </row>
    <row r="498" spans="4:4">
      <c r="D498" s="18"/>
    </row>
    <row r="499" spans="4:4">
      <c r="D499" s="18"/>
    </row>
    <row r="500" spans="4:4">
      <c r="D500" s="18"/>
    </row>
    <row r="501" spans="4:4">
      <c r="D501" s="18"/>
    </row>
    <row r="502" spans="4:4">
      <c r="D502" s="18"/>
    </row>
    <row r="503" spans="4:4">
      <c r="D503" s="18"/>
    </row>
    <row r="525" spans="4:4">
      <c r="D525" s="104"/>
    </row>
    <row r="526" spans="4:4">
      <c r="D526" s="104"/>
    </row>
    <row r="527" spans="4:4">
      <c r="D527" s="104"/>
    </row>
    <row r="564" spans="4:9">
      <c r="I564" s="98" t="s">
        <v>2280</v>
      </c>
    </row>
    <row r="565" spans="4:9">
      <c r="I565" s="98" t="s">
        <v>2280</v>
      </c>
    </row>
    <row r="575" spans="4:9">
      <c r="D575" s="104"/>
    </row>
    <row r="576" spans="4:9">
      <c r="D576" s="104"/>
    </row>
    <row r="577" spans="4:4">
      <c r="D577" s="104"/>
    </row>
    <row r="578" spans="4:4">
      <c r="D578" s="104"/>
    </row>
    <row r="678" spans="4:4">
      <c r="D678" s="18"/>
    </row>
    <row r="745" spans="1:4" ht="13.5" thickBot="1"/>
    <row r="746" spans="1:4" ht="15.75" thickBot="1">
      <c r="A746" s="91"/>
      <c r="B746" s="92"/>
      <c r="C746" s="93"/>
      <c r="D746" s="94"/>
    </row>
    <row r="747" spans="1:4" ht="15.75" thickBot="1">
      <c r="A747" s="91"/>
      <c r="B747" s="92"/>
      <c r="C747" s="93"/>
      <c r="D747" s="94"/>
    </row>
    <row r="748" spans="1:4" ht="15.75" thickBot="1">
      <c r="A748" s="91"/>
      <c r="B748" s="92"/>
      <c r="C748" s="93"/>
      <c r="D748" s="94"/>
    </row>
    <row r="749" spans="1:4" ht="15.75" thickBot="1">
      <c r="A749" s="91"/>
      <c r="B749" s="92"/>
      <c r="C749" s="93"/>
      <c r="D749" s="94"/>
    </row>
    <row r="750" spans="1:4" ht="15.75" thickBot="1">
      <c r="A750" s="91"/>
      <c r="B750" s="92"/>
      <c r="C750" s="93"/>
      <c r="D750" s="94"/>
    </row>
    <row r="751" spans="1:4" ht="15.75" thickBot="1">
      <c r="A751" s="91"/>
      <c r="B751" s="92"/>
      <c r="C751" s="93"/>
      <c r="D751" s="94"/>
    </row>
    <row r="752" spans="1:4" ht="15.75" thickBot="1">
      <c r="A752" s="91"/>
      <c r="B752" s="92"/>
      <c r="C752" s="93"/>
      <c r="D752" s="94"/>
    </row>
    <row r="753" spans="1:4" ht="15.75" thickBot="1">
      <c r="A753" s="91"/>
      <c r="B753" s="92"/>
      <c r="C753" s="93"/>
      <c r="D753" s="94"/>
    </row>
    <row r="754" spans="1:4" ht="15.75" thickBot="1">
      <c r="A754" s="91"/>
      <c r="B754" s="92"/>
      <c r="C754" s="93"/>
      <c r="D754" s="94"/>
    </row>
    <row r="755" spans="1:4" ht="15.75" thickBot="1">
      <c r="A755" s="91"/>
      <c r="B755" s="92"/>
      <c r="C755" s="93"/>
      <c r="D755" s="94"/>
    </row>
    <row r="756" spans="1:4" ht="15.75" thickBot="1">
      <c r="A756" s="91"/>
      <c r="B756" s="92"/>
      <c r="C756" s="93"/>
      <c r="D756" s="94"/>
    </row>
    <row r="757" spans="1:4" ht="15.75" thickBot="1">
      <c r="A757" s="91"/>
      <c r="B757" s="92"/>
      <c r="C757" s="93"/>
      <c r="D757" s="94"/>
    </row>
    <row r="758" spans="1:4" ht="15.75" thickBot="1">
      <c r="A758" s="91"/>
      <c r="B758" s="92"/>
      <c r="C758" s="93"/>
      <c r="D758" s="94"/>
    </row>
    <row r="759" spans="1:4" ht="15.75" thickBot="1">
      <c r="A759" s="91"/>
      <c r="B759" s="92"/>
      <c r="C759" s="93"/>
      <c r="D759" s="94"/>
    </row>
    <row r="760" spans="1:4" ht="15.75" thickBot="1">
      <c r="A760" s="91"/>
      <c r="B760" s="92"/>
      <c r="C760" s="93"/>
      <c r="D760" s="94"/>
    </row>
    <row r="761" spans="1:4" ht="15.75" thickBot="1">
      <c r="A761" s="91"/>
      <c r="B761" s="92"/>
      <c r="C761" s="93"/>
      <c r="D761" s="94"/>
    </row>
  </sheetData>
  <mergeCells count="12">
    <mergeCell ref="D575:D578"/>
    <mergeCell ref="F1:H1"/>
    <mergeCell ref="F2:H2"/>
    <mergeCell ref="B3:C3"/>
    <mergeCell ref="G3:H3"/>
    <mergeCell ref="D87:D90"/>
    <mergeCell ref="D251:D254"/>
    <mergeCell ref="D256:D259"/>
    <mergeCell ref="D342:D344"/>
    <mergeCell ref="D379:D384"/>
    <mergeCell ref="D393:D396"/>
    <mergeCell ref="D525:D527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F1D3-5E3D-417B-A054-C874F6428DA8}">
  <sheetPr>
    <tabColor indexed="17"/>
  </sheetPr>
  <dimension ref="A1:I761"/>
  <sheetViews>
    <sheetView zoomScale="120" zoomScaleNormal="120" workbookViewId="0">
      <pane ySplit="3" topLeftCell="A312" activePane="bottomLeft" state="frozen"/>
      <selection pane="bottomLeft" activeCell="E2" sqref="E2"/>
    </sheetView>
  </sheetViews>
  <sheetFormatPr defaultRowHeight="12.75"/>
  <cols>
    <col min="1" max="1" width="16.85546875" style="20" customWidth="1"/>
    <col min="2" max="2" width="16.85546875" style="24" customWidth="1"/>
    <col min="3" max="3" width="16.85546875" style="33" customWidth="1"/>
    <col min="4" max="4" width="107.7109375" style="43" customWidth="1"/>
    <col min="5" max="5" width="12.42578125" style="3" customWidth="1"/>
    <col min="6" max="6" width="13.85546875" customWidth="1"/>
    <col min="9" max="9" width="9.140625" style="98"/>
  </cols>
  <sheetData>
    <row r="1" spans="1:9" s="2" customFormat="1" ht="24" customHeight="1">
      <c r="A1" s="17" t="s">
        <v>0</v>
      </c>
      <c r="B1" s="1" t="s">
        <v>1</v>
      </c>
      <c r="C1" s="22" t="s">
        <v>2</v>
      </c>
      <c r="D1" s="41" t="s">
        <v>3</v>
      </c>
      <c r="E1" s="61">
        <v>365</v>
      </c>
      <c r="F1" s="105" t="s">
        <v>272</v>
      </c>
      <c r="G1" s="105"/>
      <c r="H1" s="105"/>
      <c r="I1" s="96"/>
    </row>
    <row r="2" spans="1:9" s="2" customFormat="1" ht="24" customHeight="1">
      <c r="A2" s="19"/>
      <c r="B2" s="23">
        <f>SUM(B4:B1061)</f>
        <v>30237702.34</v>
      </c>
      <c r="C2" s="32">
        <f>SUM(C4:C1061)</f>
        <v>13443201.74</v>
      </c>
      <c r="D2" s="42"/>
      <c r="E2" s="62">
        <f>B3/E1</f>
        <v>46012.330410958908</v>
      </c>
      <c r="F2" s="106" t="s">
        <v>274</v>
      </c>
      <c r="G2" s="106"/>
      <c r="H2" s="106"/>
      <c r="I2" s="97"/>
    </row>
    <row r="3" spans="1:9" s="2" customFormat="1" ht="24" customHeight="1">
      <c r="A3" s="19" t="s">
        <v>4</v>
      </c>
      <c r="B3" s="107">
        <f>B2-C2</f>
        <v>16794500.600000001</v>
      </c>
      <c r="C3" s="107"/>
      <c r="D3" s="42"/>
      <c r="E3" s="62">
        <f>E2/8</f>
        <v>5751.5413013698635</v>
      </c>
      <c r="F3" s="62">
        <f>E3*160</f>
        <v>920246.60821917816</v>
      </c>
      <c r="G3" s="105" t="s">
        <v>273</v>
      </c>
      <c r="H3" s="105"/>
      <c r="I3" s="97"/>
    </row>
    <row r="4" spans="1:9">
      <c r="A4" s="20">
        <v>45666</v>
      </c>
      <c r="C4" s="33">
        <v>11860</v>
      </c>
      <c r="D4" s="43" t="s">
        <v>1952</v>
      </c>
    </row>
    <row r="5" spans="1:9">
      <c r="C5" s="33">
        <v>38200</v>
      </c>
      <c r="D5" s="43" t="s">
        <v>2755</v>
      </c>
    </row>
    <row r="6" spans="1:9">
      <c r="C6" s="33">
        <v>24348</v>
      </c>
      <c r="D6" s="43" t="s">
        <v>2756</v>
      </c>
    </row>
    <row r="7" spans="1:9">
      <c r="A7" s="20">
        <v>45667</v>
      </c>
      <c r="B7" s="24">
        <v>6600</v>
      </c>
      <c r="C7" s="33">
        <v>396</v>
      </c>
      <c r="D7" s="43" t="s">
        <v>2757</v>
      </c>
    </row>
    <row r="8" spans="1:9">
      <c r="C8" s="33">
        <v>11140.85</v>
      </c>
      <c r="D8" s="43" t="s">
        <v>2758</v>
      </c>
    </row>
    <row r="9" spans="1:9">
      <c r="C9" s="33">
        <v>11739</v>
      </c>
      <c r="D9" s="43" t="s">
        <v>2759</v>
      </c>
    </row>
    <row r="10" spans="1:9">
      <c r="A10" s="20">
        <v>45672</v>
      </c>
      <c r="C10" s="33">
        <v>6000</v>
      </c>
      <c r="D10" s="43" t="s">
        <v>2760</v>
      </c>
    </row>
    <row r="11" spans="1:9">
      <c r="C11" s="33">
        <v>6700</v>
      </c>
      <c r="D11" s="43" t="s">
        <v>2761</v>
      </c>
    </row>
    <row r="12" spans="1:9">
      <c r="C12" s="33">
        <v>3500</v>
      </c>
      <c r="D12" s="43" t="s">
        <v>1551</v>
      </c>
    </row>
    <row r="13" spans="1:9">
      <c r="A13" s="20">
        <v>45675</v>
      </c>
      <c r="B13" s="24">
        <v>42750</v>
      </c>
      <c r="C13" s="33">
        <v>2565</v>
      </c>
      <c r="D13" s="43" t="s">
        <v>2323</v>
      </c>
    </row>
    <row r="14" spans="1:9">
      <c r="A14" s="20">
        <v>45677</v>
      </c>
      <c r="C14" s="33">
        <v>43000</v>
      </c>
      <c r="D14" s="43" t="s">
        <v>2762</v>
      </c>
    </row>
    <row r="15" spans="1:9">
      <c r="A15" s="20">
        <v>45678</v>
      </c>
      <c r="C15" s="33">
        <v>1300</v>
      </c>
      <c r="D15" s="43" t="s">
        <v>904</v>
      </c>
    </row>
    <row r="16" spans="1:9">
      <c r="B16" s="24">
        <v>5000</v>
      </c>
      <c r="D16" s="43" t="s">
        <v>2763</v>
      </c>
    </row>
    <row r="17" spans="1:4">
      <c r="C17" s="33">
        <v>5000</v>
      </c>
      <c r="D17" s="43" t="s">
        <v>2764</v>
      </c>
    </row>
    <row r="18" spans="1:4">
      <c r="C18" s="33">
        <v>1000</v>
      </c>
      <c r="D18" s="43" t="s">
        <v>2765</v>
      </c>
    </row>
    <row r="19" spans="1:4">
      <c r="A19" s="20">
        <v>45681</v>
      </c>
      <c r="B19" s="24">
        <v>25000</v>
      </c>
      <c r="C19" s="33">
        <v>1500</v>
      </c>
      <c r="D19" s="43" t="s">
        <v>2766</v>
      </c>
    </row>
    <row r="20" spans="1:4">
      <c r="C20" s="33">
        <v>23000</v>
      </c>
      <c r="D20" s="43" t="s">
        <v>2767</v>
      </c>
    </row>
    <row r="21" spans="1:4">
      <c r="C21" s="33">
        <v>2122</v>
      </c>
      <c r="D21" s="43" t="s">
        <v>2768</v>
      </c>
    </row>
    <row r="22" spans="1:4">
      <c r="C22" s="33">
        <v>935</v>
      </c>
      <c r="D22" s="43" t="s">
        <v>2769</v>
      </c>
    </row>
    <row r="23" spans="1:4">
      <c r="C23" s="33">
        <v>1070</v>
      </c>
      <c r="D23" s="43" t="s">
        <v>2770</v>
      </c>
    </row>
    <row r="24" spans="1:4">
      <c r="C24" s="33">
        <v>13500</v>
      </c>
      <c r="D24" s="43" t="s">
        <v>2771</v>
      </c>
    </row>
    <row r="25" spans="1:4">
      <c r="C25" s="33">
        <v>8700</v>
      </c>
      <c r="D25" s="43" t="s">
        <v>2772</v>
      </c>
    </row>
    <row r="26" spans="1:4">
      <c r="A26" s="20">
        <v>45684</v>
      </c>
      <c r="B26" s="24">
        <v>1054771</v>
      </c>
      <c r="C26" s="33">
        <v>63287</v>
      </c>
      <c r="D26" s="43" t="s">
        <v>2773</v>
      </c>
    </row>
    <row r="27" spans="1:4">
      <c r="B27" s="24">
        <v>1000000</v>
      </c>
      <c r="C27" s="33">
        <v>60000</v>
      </c>
      <c r="D27" s="43" t="s">
        <v>2774</v>
      </c>
    </row>
    <row r="28" spans="1:4">
      <c r="C28" s="33">
        <v>4660</v>
      </c>
      <c r="D28" s="43" t="s">
        <v>2775</v>
      </c>
    </row>
    <row r="29" spans="1:4">
      <c r="A29" s="20">
        <v>45685</v>
      </c>
      <c r="C29" s="33">
        <v>7500</v>
      </c>
      <c r="D29" s="43" t="s">
        <v>2776</v>
      </c>
    </row>
    <row r="30" spans="1:4">
      <c r="C30" s="33">
        <v>2000</v>
      </c>
      <c r="D30" s="43" t="s">
        <v>2777</v>
      </c>
    </row>
    <row r="31" spans="1:4">
      <c r="C31" s="33">
        <v>9317</v>
      </c>
      <c r="D31" s="43" t="s">
        <v>2778</v>
      </c>
    </row>
    <row r="32" spans="1:4">
      <c r="B32" s="24">
        <v>13000</v>
      </c>
      <c r="C32" s="33">
        <v>33000</v>
      </c>
      <c r="D32" s="43" t="s">
        <v>2779</v>
      </c>
    </row>
    <row r="33" spans="1:4">
      <c r="C33" s="33">
        <v>40000</v>
      </c>
      <c r="D33" s="43" t="s">
        <v>2780</v>
      </c>
    </row>
    <row r="34" spans="1:4">
      <c r="C34" s="33">
        <v>50000</v>
      </c>
      <c r="D34" s="43" t="s">
        <v>2781</v>
      </c>
    </row>
    <row r="35" spans="1:4">
      <c r="C35" s="33">
        <v>9800</v>
      </c>
      <c r="D35" s="43" t="s">
        <v>2555</v>
      </c>
    </row>
    <row r="36" spans="1:4">
      <c r="C36" s="33">
        <v>1500</v>
      </c>
      <c r="D36" s="43" t="s">
        <v>2782</v>
      </c>
    </row>
    <row r="37" spans="1:4">
      <c r="A37" s="20">
        <v>45692</v>
      </c>
      <c r="C37" s="33">
        <v>8050</v>
      </c>
      <c r="D37" s="43" t="s">
        <v>2783</v>
      </c>
    </row>
    <row r="38" spans="1:4">
      <c r="C38" s="33">
        <v>32800</v>
      </c>
      <c r="D38" s="43" t="s">
        <v>2755</v>
      </c>
    </row>
    <row r="39" spans="1:4">
      <c r="C39" s="33">
        <v>3500</v>
      </c>
      <c r="D39" s="43" t="s">
        <v>2784</v>
      </c>
    </row>
    <row r="40" spans="1:4">
      <c r="C40" s="33">
        <v>2500</v>
      </c>
      <c r="D40" s="43" t="s">
        <v>2785</v>
      </c>
    </row>
    <row r="41" spans="1:4">
      <c r="C41" s="33">
        <v>38000</v>
      </c>
      <c r="D41" s="43" t="s">
        <v>2786</v>
      </c>
    </row>
    <row r="42" spans="1:4">
      <c r="C42" s="33">
        <v>3190</v>
      </c>
      <c r="D42" s="43" t="s">
        <v>2787</v>
      </c>
    </row>
    <row r="43" spans="1:4">
      <c r="C43" s="33">
        <v>1231</v>
      </c>
      <c r="D43" s="43" t="s">
        <v>2788</v>
      </c>
    </row>
    <row r="44" spans="1:4">
      <c r="A44" s="20">
        <v>45695</v>
      </c>
      <c r="C44" s="33">
        <v>2952</v>
      </c>
      <c r="D44" s="99" t="s">
        <v>2789</v>
      </c>
    </row>
    <row r="45" spans="1:4">
      <c r="C45" s="33">
        <v>1152</v>
      </c>
      <c r="D45" s="99" t="s">
        <v>2790</v>
      </c>
    </row>
    <row r="46" spans="1:4">
      <c r="C46" s="33">
        <v>766</v>
      </c>
      <c r="D46" s="99" t="s">
        <v>2791</v>
      </c>
    </row>
    <row r="47" spans="1:4">
      <c r="C47" s="33">
        <v>809</v>
      </c>
      <c r="D47" s="43" t="s">
        <v>904</v>
      </c>
    </row>
    <row r="48" spans="1:4">
      <c r="B48" s="24">
        <v>200000</v>
      </c>
      <c r="C48" s="33">
        <v>12000</v>
      </c>
      <c r="D48" s="43" t="s">
        <v>2794</v>
      </c>
    </row>
    <row r="49" spans="1:4">
      <c r="B49" s="24">
        <v>100000</v>
      </c>
      <c r="C49" s="33">
        <v>6000</v>
      </c>
      <c r="D49" s="43" t="s">
        <v>2794</v>
      </c>
    </row>
    <row r="50" spans="1:4" ht="13.5" customHeight="1">
      <c r="A50" s="20">
        <v>45696</v>
      </c>
      <c r="C50" s="33">
        <v>4950</v>
      </c>
      <c r="D50" s="43" t="s">
        <v>2792</v>
      </c>
    </row>
    <row r="51" spans="1:4">
      <c r="C51" s="33">
        <v>900</v>
      </c>
      <c r="D51" s="43" t="s">
        <v>2793</v>
      </c>
    </row>
    <row r="52" spans="1:4">
      <c r="A52" s="20">
        <v>45698</v>
      </c>
      <c r="C52" s="33">
        <v>3700</v>
      </c>
      <c r="D52" s="43" t="s">
        <v>140</v>
      </c>
    </row>
    <row r="53" spans="1:4">
      <c r="C53" s="33">
        <v>6000</v>
      </c>
      <c r="D53" s="43" t="s">
        <v>2795</v>
      </c>
    </row>
    <row r="54" spans="1:4">
      <c r="C54" s="33">
        <v>3870</v>
      </c>
      <c r="D54" s="43" t="s">
        <v>2795</v>
      </c>
    </row>
    <row r="55" spans="1:4">
      <c r="C55" s="33">
        <v>19500</v>
      </c>
      <c r="D55" s="43" t="s">
        <v>2796</v>
      </c>
    </row>
    <row r="56" spans="1:4">
      <c r="C56" s="33">
        <v>10000</v>
      </c>
      <c r="D56" s="43" t="s">
        <v>2797</v>
      </c>
    </row>
    <row r="57" spans="1:4">
      <c r="A57" s="20">
        <v>45700</v>
      </c>
      <c r="C57" s="33">
        <v>3800</v>
      </c>
      <c r="D57" s="43" t="s">
        <v>2798</v>
      </c>
    </row>
    <row r="58" spans="1:4">
      <c r="C58" s="33">
        <v>1500</v>
      </c>
      <c r="D58" s="43" t="s">
        <v>2799</v>
      </c>
    </row>
    <row r="59" spans="1:4">
      <c r="C59" s="33">
        <v>5500</v>
      </c>
      <c r="D59" s="43" t="s">
        <v>2800</v>
      </c>
    </row>
    <row r="60" spans="1:4">
      <c r="C60" s="33">
        <v>917650</v>
      </c>
      <c r="D60" s="43" t="s">
        <v>2801</v>
      </c>
    </row>
    <row r="61" spans="1:4">
      <c r="C61" s="33">
        <v>65420</v>
      </c>
      <c r="D61" s="99" t="s">
        <v>2802</v>
      </c>
    </row>
    <row r="62" spans="1:4">
      <c r="C62" s="33">
        <v>575</v>
      </c>
      <c r="D62" s="99" t="s">
        <v>2803</v>
      </c>
    </row>
    <row r="63" spans="1:4">
      <c r="C63" s="33">
        <v>29000</v>
      </c>
      <c r="D63" s="43" t="s">
        <v>2804</v>
      </c>
    </row>
    <row r="64" spans="1:4">
      <c r="A64" s="20">
        <v>45703</v>
      </c>
      <c r="C64" s="33">
        <v>20000</v>
      </c>
      <c r="D64" s="43" t="s">
        <v>2805</v>
      </c>
    </row>
    <row r="65" spans="1:4">
      <c r="C65" s="33">
        <v>10000</v>
      </c>
      <c r="D65" s="43" t="s">
        <v>2806</v>
      </c>
    </row>
    <row r="66" spans="1:4">
      <c r="B66" s="24">
        <v>30000</v>
      </c>
      <c r="C66" s="33">
        <v>1800</v>
      </c>
      <c r="D66" s="43" t="s">
        <v>2807</v>
      </c>
    </row>
    <row r="67" spans="1:4">
      <c r="C67" s="33">
        <v>5430</v>
      </c>
      <c r="D67" s="43" t="s">
        <v>2808</v>
      </c>
    </row>
    <row r="68" spans="1:4">
      <c r="C68" s="33">
        <v>1174</v>
      </c>
      <c r="D68" s="43" t="s">
        <v>1934</v>
      </c>
    </row>
    <row r="69" spans="1:4">
      <c r="A69" s="20">
        <v>45706</v>
      </c>
      <c r="C69" s="33">
        <v>1220</v>
      </c>
    </row>
    <row r="70" spans="1:4">
      <c r="C70" s="33">
        <v>3667</v>
      </c>
    </row>
    <row r="71" spans="1:4">
      <c r="C71" s="33">
        <v>1616</v>
      </c>
    </row>
    <row r="72" spans="1:4">
      <c r="C72" s="33">
        <v>3340</v>
      </c>
    </row>
    <row r="73" spans="1:4">
      <c r="C73" s="33">
        <v>13005</v>
      </c>
      <c r="D73" s="43" t="s">
        <v>2809</v>
      </c>
    </row>
    <row r="74" spans="1:4">
      <c r="C74" s="33">
        <v>2912</v>
      </c>
    </row>
    <row r="75" spans="1:4">
      <c r="C75" s="33">
        <v>28242</v>
      </c>
      <c r="D75" s="43" t="s">
        <v>2810</v>
      </c>
    </row>
    <row r="76" spans="1:4">
      <c r="C76" s="33">
        <v>1740</v>
      </c>
    </row>
    <row r="77" spans="1:4">
      <c r="A77" s="20">
        <v>45710</v>
      </c>
      <c r="C77" s="33">
        <v>10000</v>
      </c>
      <c r="D77" s="43" t="s">
        <v>2811</v>
      </c>
    </row>
    <row r="78" spans="1:4">
      <c r="C78" s="33">
        <v>10000</v>
      </c>
      <c r="D78" s="43" t="s">
        <v>2812</v>
      </c>
    </row>
    <row r="79" spans="1:4">
      <c r="C79" s="33">
        <v>60000</v>
      </c>
      <c r="D79" s="43" t="s">
        <v>2813</v>
      </c>
    </row>
    <row r="80" spans="1:4">
      <c r="C80" s="33">
        <v>7000</v>
      </c>
      <c r="D80" s="43" t="s">
        <v>2814</v>
      </c>
    </row>
    <row r="81" spans="1:4">
      <c r="A81" s="20">
        <v>45713</v>
      </c>
      <c r="C81" s="33">
        <v>2500</v>
      </c>
      <c r="D81" s="43" t="s">
        <v>2815</v>
      </c>
    </row>
    <row r="82" spans="1:4">
      <c r="C82" s="33">
        <v>5000</v>
      </c>
      <c r="D82" s="43" t="s">
        <v>2816</v>
      </c>
    </row>
    <row r="83" spans="1:4">
      <c r="C83" s="33">
        <v>10000</v>
      </c>
      <c r="D83" s="43" t="s">
        <v>2817</v>
      </c>
    </row>
    <row r="84" spans="1:4">
      <c r="C84" s="33">
        <v>15130</v>
      </c>
      <c r="D84" s="43" t="s">
        <v>2060</v>
      </c>
    </row>
    <row r="85" spans="1:4">
      <c r="A85" s="20">
        <v>45714</v>
      </c>
      <c r="C85" s="33">
        <v>15000</v>
      </c>
      <c r="D85" s="43" t="s">
        <v>2818</v>
      </c>
    </row>
    <row r="86" spans="1:4">
      <c r="B86" s="24">
        <v>104500</v>
      </c>
      <c r="C86" s="33">
        <v>6270</v>
      </c>
      <c r="D86" s="43" t="s">
        <v>2819</v>
      </c>
    </row>
    <row r="87" spans="1:4">
      <c r="B87" s="24">
        <v>344080</v>
      </c>
      <c r="C87" s="33">
        <v>20645</v>
      </c>
      <c r="D87" s="108" t="s">
        <v>2773</v>
      </c>
    </row>
    <row r="88" spans="1:4">
      <c r="B88" s="24">
        <v>121800</v>
      </c>
      <c r="C88" s="33">
        <v>7308</v>
      </c>
      <c r="D88" s="108"/>
    </row>
    <row r="89" spans="1:4">
      <c r="B89" s="24">
        <v>121800</v>
      </c>
      <c r="C89" s="33">
        <v>7308</v>
      </c>
      <c r="D89" s="108"/>
    </row>
    <row r="90" spans="1:4">
      <c r="B90" s="24">
        <v>121800</v>
      </c>
      <c r="C90" s="33">
        <v>7308</v>
      </c>
      <c r="D90" s="108"/>
    </row>
    <row r="91" spans="1:4">
      <c r="A91" s="20">
        <v>45716</v>
      </c>
      <c r="C91" s="33">
        <v>45500</v>
      </c>
      <c r="D91" s="43" t="s">
        <v>2820</v>
      </c>
    </row>
    <row r="92" spans="1:4">
      <c r="A92" s="20">
        <v>45719</v>
      </c>
      <c r="C92" s="33">
        <v>14350</v>
      </c>
      <c r="D92" s="43" t="s">
        <v>1359</v>
      </c>
    </row>
    <row r="93" spans="1:4">
      <c r="C93" s="33">
        <v>38200</v>
      </c>
      <c r="D93" s="43" t="s">
        <v>1331</v>
      </c>
    </row>
    <row r="94" spans="1:4">
      <c r="C94" s="33">
        <v>52370</v>
      </c>
      <c r="D94" s="43" t="s">
        <v>2821</v>
      </c>
    </row>
    <row r="95" spans="1:4">
      <c r="C95" s="33">
        <v>5000</v>
      </c>
      <c r="D95" s="43" t="s">
        <v>2811</v>
      </c>
    </row>
    <row r="96" spans="1:4">
      <c r="C96" s="33">
        <v>12067</v>
      </c>
      <c r="D96" s="43" t="s">
        <v>2822</v>
      </c>
    </row>
    <row r="97" spans="1:4">
      <c r="A97" s="20">
        <v>45723</v>
      </c>
      <c r="C97" s="33">
        <v>8000</v>
      </c>
      <c r="D97" s="43" t="s">
        <v>2823</v>
      </c>
    </row>
    <row r="98" spans="1:4">
      <c r="C98" s="33">
        <v>10000</v>
      </c>
      <c r="D98" s="43" t="s">
        <v>2824</v>
      </c>
    </row>
    <row r="99" spans="1:4">
      <c r="C99" s="33">
        <v>2000</v>
      </c>
      <c r="D99" s="43" t="s">
        <v>941</v>
      </c>
    </row>
    <row r="100" spans="1:4">
      <c r="C100" s="33">
        <v>4154</v>
      </c>
      <c r="D100" s="43" t="s">
        <v>2825</v>
      </c>
    </row>
    <row r="101" spans="1:4">
      <c r="C101" s="33">
        <v>2050</v>
      </c>
      <c r="D101" s="43" t="s">
        <v>941</v>
      </c>
    </row>
    <row r="102" spans="1:4">
      <c r="C102" s="33">
        <v>873</v>
      </c>
      <c r="D102" s="43" t="s">
        <v>2782</v>
      </c>
    </row>
    <row r="103" spans="1:4">
      <c r="C103" s="33">
        <v>9000</v>
      </c>
      <c r="D103" s="43" t="s">
        <v>2826</v>
      </c>
    </row>
    <row r="104" spans="1:4">
      <c r="C104" s="33">
        <v>620000</v>
      </c>
      <c r="D104" s="43" t="s">
        <v>2798</v>
      </c>
    </row>
    <row r="105" spans="1:4">
      <c r="C105" s="33">
        <v>65000</v>
      </c>
      <c r="D105" s="43" t="s">
        <v>2802</v>
      </c>
    </row>
    <row r="106" spans="1:4">
      <c r="B106" s="24">
        <v>55000</v>
      </c>
      <c r="C106" s="33">
        <v>3300</v>
      </c>
      <c r="D106" s="43" t="s">
        <v>2827</v>
      </c>
    </row>
    <row r="107" spans="1:4">
      <c r="A107" s="20">
        <v>45726</v>
      </c>
      <c r="C107" s="33">
        <v>5000</v>
      </c>
      <c r="D107" s="43" t="s">
        <v>2816</v>
      </c>
    </row>
    <row r="108" spans="1:4">
      <c r="C108" s="33">
        <v>10500</v>
      </c>
      <c r="D108" s="43" t="s">
        <v>2828</v>
      </c>
    </row>
    <row r="109" spans="1:4">
      <c r="C109" s="33">
        <v>1200</v>
      </c>
      <c r="D109" s="43" t="s">
        <v>2829</v>
      </c>
    </row>
    <row r="110" spans="1:4">
      <c r="C110" s="33">
        <v>2337</v>
      </c>
      <c r="D110" s="43" t="s">
        <v>2830</v>
      </c>
    </row>
    <row r="111" spans="1:4">
      <c r="A111" s="20">
        <v>45730</v>
      </c>
      <c r="B111" s="24">
        <v>100000</v>
      </c>
      <c r="D111" s="43" t="s">
        <v>2689</v>
      </c>
    </row>
    <row r="112" spans="1:4">
      <c r="C112" s="33">
        <v>13000</v>
      </c>
      <c r="D112" s="43" t="s">
        <v>2831</v>
      </c>
    </row>
    <row r="113" spans="1:4">
      <c r="A113" s="20">
        <v>45736</v>
      </c>
      <c r="B113" s="24">
        <v>24000</v>
      </c>
      <c r="C113" s="33">
        <v>1440</v>
      </c>
      <c r="D113" s="43" t="s">
        <v>2832</v>
      </c>
    </row>
    <row r="114" spans="1:4">
      <c r="B114" s="24">
        <v>32000</v>
      </c>
      <c r="C114" s="33">
        <v>1920</v>
      </c>
      <c r="D114" s="43" t="s">
        <v>2833</v>
      </c>
    </row>
    <row r="115" spans="1:4">
      <c r="B115" s="24">
        <v>45000</v>
      </c>
      <c r="C115" s="33">
        <v>2700</v>
      </c>
      <c r="D115" s="43" t="s">
        <v>2834</v>
      </c>
    </row>
    <row r="116" spans="1:4">
      <c r="C116" s="33">
        <v>1050</v>
      </c>
      <c r="D116" s="43" t="s">
        <v>941</v>
      </c>
    </row>
    <row r="117" spans="1:4">
      <c r="C117" s="33">
        <v>600</v>
      </c>
      <c r="D117" s="43" t="s">
        <v>941</v>
      </c>
    </row>
    <row r="118" spans="1:4">
      <c r="C118" s="33">
        <v>3000</v>
      </c>
      <c r="D118" s="43" t="s">
        <v>2835</v>
      </c>
    </row>
    <row r="119" spans="1:4">
      <c r="C119" s="33">
        <v>2680</v>
      </c>
      <c r="D119" s="43" t="s">
        <v>2836</v>
      </c>
    </row>
    <row r="120" spans="1:4">
      <c r="A120" s="20">
        <v>45741</v>
      </c>
      <c r="C120" s="33">
        <v>6010</v>
      </c>
      <c r="D120" s="43" t="s">
        <v>2837</v>
      </c>
    </row>
    <row r="121" spans="1:4">
      <c r="C121" s="33">
        <v>5000</v>
      </c>
      <c r="D121" s="43" t="s">
        <v>2838</v>
      </c>
    </row>
    <row r="122" spans="1:4">
      <c r="B122" s="24">
        <v>132000</v>
      </c>
      <c r="C122" s="33">
        <v>7920</v>
      </c>
      <c r="D122" s="43" t="s">
        <v>2839</v>
      </c>
    </row>
    <row r="123" spans="1:4">
      <c r="A123" s="20">
        <v>45744</v>
      </c>
      <c r="C123" s="33">
        <v>10000</v>
      </c>
      <c r="D123" s="43" t="s">
        <v>2840</v>
      </c>
    </row>
    <row r="124" spans="1:4">
      <c r="C124" s="33">
        <v>7000</v>
      </c>
      <c r="D124" s="43" t="s">
        <v>2841</v>
      </c>
    </row>
    <row r="125" spans="1:4">
      <c r="C125" s="33">
        <v>3584</v>
      </c>
      <c r="D125" s="43" t="s">
        <v>2782</v>
      </c>
    </row>
    <row r="126" spans="1:4">
      <c r="C126" s="33">
        <v>600</v>
      </c>
      <c r="D126" s="43" t="s">
        <v>2842</v>
      </c>
    </row>
    <row r="127" spans="1:4">
      <c r="A127" s="20">
        <v>45747</v>
      </c>
      <c r="C127" s="33">
        <v>1900</v>
      </c>
      <c r="D127" s="43" t="s">
        <v>1867</v>
      </c>
    </row>
    <row r="128" spans="1:4">
      <c r="C128" s="33">
        <v>7000</v>
      </c>
      <c r="D128" s="43" t="s">
        <v>2843</v>
      </c>
    </row>
    <row r="129" spans="1:4">
      <c r="C129" s="33">
        <v>5000</v>
      </c>
      <c r="D129" s="43" t="s">
        <v>2844</v>
      </c>
    </row>
    <row r="130" spans="1:4">
      <c r="C130" s="33">
        <v>2500</v>
      </c>
      <c r="D130" s="43" t="s">
        <v>2845</v>
      </c>
    </row>
    <row r="131" spans="1:4">
      <c r="C131" s="33">
        <v>3800</v>
      </c>
      <c r="D131" s="43" t="s">
        <v>2782</v>
      </c>
    </row>
    <row r="132" spans="1:4">
      <c r="C132" s="33">
        <v>1900</v>
      </c>
      <c r="D132" s="43" t="s">
        <v>2846</v>
      </c>
    </row>
    <row r="133" spans="1:4">
      <c r="C133" s="33">
        <v>358000</v>
      </c>
      <c r="D133" s="43" t="s">
        <v>2847</v>
      </c>
    </row>
    <row r="134" spans="1:4">
      <c r="C134" s="33">
        <v>12500</v>
      </c>
      <c r="D134" s="43" t="s">
        <v>2848</v>
      </c>
    </row>
    <row r="135" spans="1:4">
      <c r="A135" s="20">
        <v>45753</v>
      </c>
      <c r="C135" s="33">
        <v>8350</v>
      </c>
      <c r="D135" s="43" t="s">
        <v>2849</v>
      </c>
    </row>
    <row r="136" spans="1:4">
      <c r="C136" s="33">
        <v>248</v>
      </c>
      <c r="D136" s="43" t="s">
        <v>2850</v>
      </c>
    </row>
    <row r="137" spans="1:4">
      <c r="C137" s="33">
        <v>1050</v>
      </c>
      <c r="D137" s="43" t="s">
        <v>2851</v>
      </c>
    </row>
    <row r="138" spans="1:4">
      <c r="C138" s="33">
        <v>1037</v>
      </c>
      <c r="D138" s="43" t="s">
        <v>2852</v>
      </c>
    </row>
    <row r="139" spans="1:4">
      <c r="B139" s="24">
        <v>20000</v>
      </c>
      <c r="D139" s="43" t="s">
        <v>2853</v>
      </c>
    </row>
    <row r="140" spans="1:4">
      <c r="C140" s="33">
        <v>15000</v>
      </c>
      <c r="D140" s="43" t="s">
        <v>2854</v>
      </c>
    </row>
    <row r="141" spans="1:4">
      <c r="A141" s="20">
        <v>45754</v>
      </c>
      <c r="B141" s="24">
        <v>60000</v>
      </c>
      <c r="C141" s="33">
        <v>4200</v>
      </c>
      <c r="D141" s="43" t="s">
        <v>2855</v>
      </c>
    </row>
    <row r="142" spans="1:4">
      <c r="C142" s="33">
        <v>38200</v>
      </c>
      <c r="D142" s="43" t="s">
        <v>1718</v>
      </c>
    </row>
    <row r="143" spans="1:4">
      <c r="C143" s="33">
        <v>6642</v>
      </c>
      <c r="D143" s="43" t="s">
        <v>1554</v>
      </c>
    </row>
    <row r="144" spans="1:4">
      <c r="A144" s="20">
        <v>45758</v>
      </c>
      <c r="C144" s="33">
        <v>2500</v>
      </c>
      <c r="D144" s="43" t="s">
        <v>2856</v>
      </c>
    </row>
    <row r="145" spans="1:4">
      <c r="C145" s="33">
        <v>10000</v>
      </c>
      <c r="D145" s="43" t="s">
        <v>1952</v>
      </c>
    </row>
    <row r="146" spans="1:4">
      <c r="B146" s="24">
        <v>24000</v>
      </c>
      <c r="C146" s="33">
        <v>1680</v>
      </c>
      <c r="D146" s="43" t="s">
        <v>2857</v>
      </c>
    </row>
    <row r="147" spans="1:4">
      <c r="C147" s="33">
        <v>396</v>
      </c>
    </row>
    <row r="148" spans="1:4">
      <c r="C148" s="33">
        <v>4406</v>
      </c>
    </row>
    <row r="149" spans="1:4">
      <c r="C149" s="33">
        <v>1348</v>
      </c>
    </row>
    <row r="150" spans="1:4">
      <c r="C150" s="33">
        <v>4700</v>
      </c>
      <c r="D150" s="43" t="s">
        <v>941</v>
      </c>
    </row>
    <row r="151" spans="1:4">
      <c r="C151" s="33">
        <v>7945</v>
      </c>
      <c r="D151" s="43" t="s">
        <v>2858</v>
      </c>
    </row>
    <row r="152" spans="1:4">
      <c r="C152" s="33">
        <v>2533</v>
      </c>
      <c r="D152" s="43" t="s">
        <v>2859</v>
      </c>
    </row>
    <row r="153" spans="1:4">
      <c r="C153" s="33">
        <v>2177</v>
      </c>
      <c r="D153" s="43" t="s">
        <v>2860</v>
      </c>
    </row>
    <row r="154" spans="1:4">
      <c r="A154" s="20">
        <v>45764</v>
      </c>
      <c r="C154" s="33">
        <v>2500</v>
      </c>
      <c r="D154" s="43" t="s">
        <v>2861</v>
      </c>
    </row>
    <row r="155" spans="1:4">
      <c r="B155" s="24">
        <v>1000000</v>
      </c>
      <c r="C155" s="33">
        <v>60000</v>
      </c>
      <c r="D155" s="43" t="s">
        <v>2862</v>
      </c>
    </row>
    <row r="156" spans="1:4">
      <c r="C156" s="33">
        <v>60330</v>
      </c>
      <c r="D156" s="43" t="s">
        <v>2863</v>
      </c>
    </row>
    <row r="157" spans="1:4">
      <c r="A157" s="20">
        <v>45765</v>
      </c>
      <c r="C157" s="33">
        <v>23800</v>
      </c>
      <c r="D157" s="43" t="s">
        <v>2864</v>
      </c>
    </row>
    <row r="158" spans="1:4">
      <c r="B158" s="24">
        <v>28000</v>
      </c>
      <c r="D158" s="43" t="s">
        <v>2865</v>
      </c>
    </row>
    <row r="159" spans="1:4">
      <c r="A159" s="20">
        <v>45769</v>
      </c>
      <c r="C159" s="33">
        <v>8065</v>
      </c>
      <c r="D159" s="43" t="s">
        <v>2866</v>
      </c>
    </row>
    <row r="160" spans="1:4">
      <c r="C160" s="33">
        <v>9000</v>
      </c>
      <c r="D160" s="43" t="s">
        <v>2867</v>
      </c>
    </row>
    <row r="161" spans="1:4">
      <c r="A161" s="20">
        <v>45771</v>
      </c>
      <c r="C161" s="33">
        <v>143300</v>
      </c>
      <c r="D161" s="43" t="s">
        <v>2868</v>
      </c>
    </row>
    <row r="162" spans="1:4">
      <c r="C162" s="33">
        <v>944</v>
      </c>
      <c r="D162" s="43" t="s">
        <v>2869</v>
      </c>
    </row>
    <row r="163" spans="1:4">
      <c r="A163" s="20">
        <v>45775</v>
      </c>
      <c r="B163" s="24">
        <v>20000</v>
      </c>
      <c r="C163" s="33">
        <v>1200</v>
      </c>
      <c r="D163" s="43" t="s">
        <v>2870</v>
      </c>
    </row>
    <row r="164" spans="1:4">
      <c r="A164" s="20">
        <v>45777</v>
      </c>
      <c r="B164" s="24">
        <v>848796</v>
      </c>
      <c r="C164" s="33">
        <v>50928</v>
      </c>
      <c r="D164" s="43" t="s">
        <v>2871</v>
      </c>
    </row>
    <row r="165" spans="1:4">
      <c r="A165" s="20">
        <v>45813</v>
      </c>
      <c r="B165" s="24">
        <v>123600</v>
      </c>
      <c r="C165" s="33">
        <v>7416</v>
      </c>
      <c r="D165" s="43" t="s">
        <v>2907</v>
      </c>
    </row>
    <row r="166" spans="1:4">
      <c r="A166" s="20">
        <v>45783</v>
      </c>
      <c r="B166" s="24">
        <v>300000</v>
      </c>
      <c r="C166" s="33">
        <v>18000</v>
      </c>
      <c r="D166" s="43" t="s">
        <v>2872</v>
      </c>
    </row>
    <row r="167" spans="1:4">
      <c r="C167" s="33">
        <v>50000</v>
      </c>
      <c r="D167" s="43" t="s">
        <v>1848</v>
      </c>
    </row>
    <row r="168" spans="1:4">
      <c r="C168" s="33">
        <v>100000</v>
      </c>
      <c r="D168" s="43" t="s">
        <v>2873</v>
      </c>
    </row>
    <row r="169" spans="1:4">
      <c r="B169" s="24">
        <v>140000</v>
      </c>
      <c r="C169" s="33">
        <v>8400</v>
      </c>
    </row>
    <row r="170" spans="1:4">
      <c r="B170" s="24">
        <v>140000</v>
      </c>
      <c r="C170" s="33">
        <v>8400</v>
      </c>
      <c r="D170" s="43" t="s">
        <v>2773</v>
      </c>
    </row>
    <row r="171" spans="1:4">
      <c r="B171" s="24">
        <v>140000</v>
      </c>
      <c r="C171" s="33">
        <v>8400</v>
      </c>
    </row>
    <row r="172" spans="1:4">
      <c r="C172" s="33">
        <v>365400</v>
      </c>
      <c r="D172" s="43" t="s">
        <v>2881</v>
      </c>
    </row>
    <row r="173" spans="1:4">
      <c r="A173" s="20">
        <v>45784</v>
      </c>
      <c r="B173" s="24">
        <v>3000</v>
      </c>
      <c r="D173" s="43" t="s">
        <v>2874</v>
      </c>
    </row>
    <row r="174" spans="1:4">
      <c r="C174" s="33">
        <v>65000</v>
      </c>
      <c r="D174" s="43" t="s">
        <v>2875</v>
      </c>
    </row>
    <row r="175" spans="1:4">
      <c r="A175" s="20">
        <v>45789</v>
      </c>
      <c r="C175" s="33">
        <v>15000</v>
      </c>
      <c r="D175" s="43" t="s">
        <v>2876</v>
      </c>
    </row>
    <row r="176" spans="1:4">
      <c r="B176" s="24">
        <v>3300000</v>
      </c>
      <c r="C176" s="33">
        <v>199800</v>
      </c>
      <c r="D176" s="43" t="s">
        <v>2877</v>
      </c>
    </row>
    <row r="177" spans="1:4">
      <c r="C177" s="33">
        <v>14700</v>
      </c>
      <c r="D177" s="43" t="s">
        <v>2878</v>
      </c>
    </row>
    <row r="178" spans="1:4">
      <c r="C178" s="33">
        <v>10000</v>
      </c>
      <c r="D178" s="43" t="s">
        <v>2879</v>
      </c>
    </row>
    <row r="179" spans="1:4">
      <c r="C179" s="33">
        <v>30000</v>
      </c>
      <c r="D179" s="43" t="s">
        <v>2880</v>
      </c>
    </row>
    <row r="180" spans="1:4">
      <c r="A180" s="20">
        <v>45790</v>
      </c>
      <c r="C180" s="33">
        <v>2700</v>
      </c>
      <c r="D180" s="43" t="s">
        <v>2882</v>
      </c>
    </row>
    <row r="181" spans="1:4">
      <c r="A181" s="20">
        <v>45793</v>
      </c>
      <c r="B181" s="24">
        <v>750000</v>
      </c>
      <c r="C181" s="33">
        <v>45000</v>
      </c>
      <c r="D181" s="43" t="s">
        <v>2883</v>
      </c>
    </row>
    <row r="182" spans="1:4">
      <c r="C182" s="33">
        <v>7500</v>
      </c>
      <c r="D182" s="43" t="s">
        <v>2876</v>
      </c>
    </row>
    <row r="183" spans="1:4">
      <c r="C183" s="33">
        <v>3000</v>
      </c>
      <c r="D183" s="43" t="s">
        <v>2884</v>
      </c>
    </row>
    <row r="184" spans="1:4">
      <c r="C184" s="33">
        <v>10000</v>
      </c>
      <c r="D184" s="43" t="s">
        <v>2885</v>
      </c>
    </row>
    <row r="185" spans="1:4">
      <c r="C185" s="33">
        <v>5000</v>
      </c>
      <c r="D185" s="43" t="s">
        <v>2886</v>
      </c>
    </row>
    <row r="186" spans="1:4">
      <c r="A186" s="20">
        <v>45797</v>
      </c>
      <c r="B186" s="24">
        <v>700000</v>
      </c>
      <c r="C186" s="33">
        <v>42000</v>
      </c>
      <c r="D186" s="43" t="s">
        <v>2887</v>
      </c>
    </row>
    <row r="187" spans="1:4">
      <c r="C187" s="33">
        <v>655000</v>
      </c>
      <c r="D187" s="43" t="s">
        <v>2888</v>
      </c>
    </row>
    <row r="188" spans="1:4">
      <c r="C188" s="33">
        <v>200000</v>
      </c>
      <c r="D188" s="43" t="s">
        <v>2889</v>
      </c>
    </row>
    <row r="189" spans="1:4">
      <c r="A189" s="20">
        <v>45807</v>
      </c>
      <c r="B189" s="24">
        <v>22000</v>
      </c>
      <c r="C189" s="33">
        <v>1540</v>
      </c>
      <c r="D189" s="43" t="s">
        <v>2890</v>
      </c>
    </row>
    <row r="190" spans="1:4">
      <c r="B190" s="24">
        <v>10000</v>
      </c>
      <c r="D190" s="43" t="s">
        <v>2891</v>
      </c>
    </row>
    <row r="191" spans="1:4">
      <c r="C191" s="33">
        <v>20000</v>
      </c>
      <c r="D191" s="43" t="s">
        <v>2876</v>
      </c>
    </row>
    <row r="192" spans="1:4">
      <c r="B192" s="24">
        <v>3000</v>
      </c>
      <c r="D192" s="43" t="s">
        <v>2892</v>
      </c>
    </row>
    <row r="193" spans="1:4">
      <c r="A193" s="20">
        <v>45781</v>
      </c>
      <c r="B193" s="24">
        <v>847984</v>
      </c>
      <c r="C193" s="33">
        <v>50880</v>
      </c>
      <c r="D193" s="43" t="s">
        <v>2893</v>
      </c>
    </row>
    <row r="194" spans="1:4">
      <c r="C194" s="33">
        <v>53823.56</v>
      </c>
      <c r="D194" s="43" t="s">
        <v>2894</v>
      </c>
    </row>
    <row r="195" spans="1:4">
      <c r="C195" s="33">
        <v>38200</v>
      </c>
      <c r="D195" s="43" t="s">
        <v>1718</v>
      </c>
    </row>
    <row r="196" spans="1:4">
      <c r="C196" s="33">
        <v>38200</v>
      </c>
      <c r="D196" s="43" t="s">
        <v>485</v>
      </c>
    </row>
    <row r="197" spans="1:4">
      <c r="C197" s="33">
        <v>4533</v>
      </c>
      <c r="D197" s="43" t="s">
        <v>1554</v>
      </c>
    </row>
    <row r="198" spans="1:4">
      <c r="C198" s="33">
        <v>145341</v>
      </c>
      <c r="D198" s="43" t="s">
        <v>2895</v>
      </c>
    </row>
    <row r="199" spans="1:4">
      <c r="C199" s="33">
        <v>193000</v>
      </c>
      <c r="D199" s="43" t="s">
        <v>2896</v>
      </c>
    </row>
    <row r="200" spans="1:4">
      <c r="C200" s="33">
        <v>320000</v>
      </c>
      <c r="D200" s="43" t="s">
        <v>2897</v>
      </c>
    </row>
    <row r="201" spans="1:4">
      <c r="B201" s="24">
        <v>300000</v>
      </c>
      <c r="C201" s="33">
        <v>18000</v>
      </c>
      <c r="D201" s="43" t="s">
        <v>2898</v>
      </c>
    </row>
    <row r="202" spans="1:4">
      <c r="C202" s="33">
        <v>1000</v>
      </c>
      <c r="D202" s="43" t="s">
        <v>2899</v>
      </c>
    </row>
    <row r="203" spans="1:4">
      <c r="A203" s="20">
        <v>45821</v>
      </c>
      <c r="C203" s="33">
        <v>35000</v>
      </c>
      <c r="D203" s="43" t="s">
        <v>2900</v>
      </c>
    </row>
    <row r="204" spans="1:4">
      <c r="C204" s="37">
        <v>5000</v>
      </c>
      <c r="D204" s="43" t="s">
        <v>2806</v>
      </c>
    </row>
    <row r="205" spans="1:4">
      <c r="C205" s="33">
        <v>18500</v>
      </c>
      <c r="D205" s="43" t="s">
        <v>1800</v>
      </c>
    </row>
    <row r="206" spans="1:4">
      <c r="A206" s="20">
        <v>45827</v>
      </c>
      <c r="C206" s="33">
        <v>7800</v>
      </c>
      <c r="D206" s="43" t="s">
        <v>2901</v>
      </c>
    </row>
    <row r="207" spans="1:4">
      <c r="C207" s="33">
        <v>20580</v>
      </c>
      <c r="D207" s="43" t="s">
        <v>699</v>
      </c>
    </row>
    <row r="208" spans="1:4">
      <c r="C208" s="33">
        <v>10000</v>
      </c>
      <c r="D208" s="43" t="s">
        <v>2902</v>
      </c>
    </row>
    <row r="209" spans="1:4">
      <c r="C209" s="33">
        <v>25000</v>
      </c>
      <c r="D209" s="43" t="s">
        <v>2741</v>
      </c>
    </row>
    <row r="210" spans="1:4">
      <c r="C210" s="33">
        <v>100000</v>
      </c>
      <c r="D210" s="43" t="s">
        <v>2903</v>
      </c>
    </row>
    <row r="211" spans="1:4">
      <c r="A211" s="20">
        <v>45832</v>
      </c>
      <c r="B211" s="24">
        <v>50000</v>
      </c>
      <c r="C211" s="33">
        <v>3000</v>
      </c>
      <c r="D211" s="43" t="s">
        <v>2904</v>
      </c>
    </row>
    <row r="212" spans="1:4">
      <c r="B212" s="24">
        <v>100000</v>
      </c>
      <c r="C212" s="33">
        <v>6000</v>
      </c>
      <c r="D212" s="43" t="s">
        <v>2905</v>
      </c>
    </row>
    <row r="213" spans="1:4">
      <c r="C213" s="33">
        <v>75000</v>
      </c>
      <c r="D213" s="43" t="s">
        <v>2906</v>
      </c>
    </row>
    <row r="214" spans="1:4">
      <c r="C214" s="33">
        <v>55000</v>
      </c>
      <c r="D214" s="43" t="s">
        <v>2906</v>
      </c>
    </row>
    <row r="215" spans="1:4">
      <c r="C215" s="33">
        <v>2900</v>
      </c>
      <c r="D215" s="43" t="s">
        <v>89</v>
      </c>
    </row>
    <row r="216" spans="1:4">
      <c r="A216" s="20">
        <v>45834</v>
      </c>
      <c r="C216" s="33">
        <v>740</v>
      </c>
      <c r="D216" s="43" t="s">
        <v>2908</v>
      </c>
    </row>
    <row r="217" spans="1:4">
      <c r="B217" s="33">
        <v>1541759</v>
      </c>
      <c r="C217" s="33">
        <v>92506</v>
      </c>
      <c r="D217" s="43" t="s">
        <v>2909</v>
      </c>
    </row>
    <row r="218" spans="1:4">
      <c r="B218" s="24">
        <v>50000</v>
      </c>
      <c r="C218" s="33">
        <v>3000</v>
      </c>
      <c r="D218" s="43" t="s">
        <v>2910</v>
      </c>
    </row>
    <row r="219" spans="1:4">
      <c r="A219" s="20">
        <v>45842</v>
      </c>
      <c r="B219" s="24">
        <v>1000000</v>
      </c>
      <c r="C219" s="33">
        <v>60000</v>
      </c>
      <c r="D219" s="43" t="s">
        <v>2774</v>
      </c>
    </row>
    <row r="220" spans="1:4">
      <c r="C220" s="33">
        <v>38200</v>
      </c>
    </row>
    <row r="221" spans="1:4">
      <c r="C221" s="33">
        <v>5297</v>
      </c>
      <c r="D221" s="43" t="s">
        <v>1718</v>
      </c>
    </row>
    <row r="222" spans="1:4">
      <c r="B222" s="24">
        <v>848796</v>
      </c>
      <c r="C222" s="33">
        <v>50928</v>
      </c>
      <c r="D222" s="43" t="s">
        <v>2911</v>
      </c>
    </row>
    <row r="223" spans="1:4">
      <c r="C223" s="33">
        <v>130000</v>
      </c>
      <c r="D223" s="43" t="s">
        <v>2912</v>
      </c>
    </row>
    <row r="224" spans="1:4">
      <c r="A224" s="20">
        <v>45848</v>
      </c>
      <c r="C224" s="33">
        <v>150000</v>
      </c>
      <c r="D224" s="43" t="s">
        <v>2913</v>
      </c>
    </row>
    <row r="225" spans="1:4">
      <c r="C225" s="33">
        <v>1500</v>
      </c>
      <c r="D225" s="43" t="s">
        <v>2914</v>
      </c>
    </row>
    <row r="226" spans="1:4">
      <c r="A226" s="20">
        <v>45853</v>
      </c>
      <c r="B226" s="24">
        <v>87000</v>
      </c>
      <c r="C226" s="33">
        <v>5220</v>
      </c>
      <c r="D226" s="43" t="s">
        <v>2915</v>
      </c>
    </row>
    <row r="227" spans="1:4">
      <c r="B227" s="24">
        <v>75000</v>
      </c>
      <c r="C227" s="33">
        <v>4500</v>
      </c>
      <c r="D227" s="43" t="s">
        <v>2916</v>
      </c>
    </row>
    <row r="228" spans="1:4">
      <c r="A228" s="20">
        <v>45854</v>
      </c>
      <c r="B228" s="24">
        <v>87000</v>
      </c>
      <c r="C228" s="33">
        <v>5220</v>
      </c>
      <c r="D228" s="43" t="s">
        <v>2857</v>
      </c>
    </row>
    <row r="229" spans="1:4">
      <c r="A229" s="20">
        <v>45855</v>
      </c>
      <c r="C229" s="33">
        <v>5495</v>
      </c>
      <c r="D229" s="43" t="s">
        <v>2917</v>
      </c>
    </row>
    <row r="230" spans="1:4">
      <c r="A230" s="20">
        <v>45859</v>
      </c>
      <c r="B230" s="24">
        <v>50000</v>
      </c>
      <c r="C230" s="33">
        <v>3000</v>
      </c>
      <c r="D230" s="43" t="s">
        <v>2918</v>
      </c>
    </row>
    <row r="231" spans="1:4">
      <c r="A231" s="20">
        <v>45860</v>
      </c>
      <c r="B231" s="24">
        <v>50000</v>
      </c>
      <c r="C231" s="33">
        <v>3000</v>
      </c>
      <c r="D231" s="43" t="s">
        <v>2918</v>
      </c>
    </row>
    <row r="232" spans="1:4">
      <c r="A232" s="20">
        <v>45871</v>
      </c>
      <c r="C232" s="33">
        <v>38200</v>
      </c>
      <c r="D232" s="43" t="s">
        <v>1718</v>
      </c>
    </row>
    <row r="233" spans="1:4">
      <c r="C233" s="33">
        <v>3571</v>
      </c>
      <c r="D233" s="43" t="s">
        <v>2919</v>
      </c>
    </row>
    <row r="234" spans="1:4">
      <c r="A234" s="20">
        <v>45881</v>
      </c>
      <c r="C234" s="33">
        <v>10450</v>
      </c>
      <c r="D234" s="43" t="s">
        <v>2920</v>
      </c>
    </row>
    <row r="235" spans="1:4">
      <c r="B235" s="24">
        <v>45000</v>
      </c>
      <c r="C235" s="33">
        <v>2700</v>
      </c>
      <c r="D235" s="43" t="s">
        <v>2921</v>
      </c>
    </row>
    <row r="236" spans="1:4">
      <c r="C236" s="33">
        <v>24000</v>
      </c>
      <c r="D236" s="43" t="s">
        <v>2922</v>
      </c>
    </row>
    <row r="237" spans="1:4">
      <c r="C237" s="33">
        <v>1550</v>
      </c>
      <c r="D237" s="43" t="s">
        <v>2923</v>
      </c>
    </row>
    <row r="238" spans="1:4">
      <c r="C238" s="33">
        <v>65800</v>
      </c>
      <c r="D238" s="43" t="s">
        <v>2025</v>
      </c>
    </row>
    <row r="239" spans="1:4">
      <c r="A239" s="20">
        <v>45882</v>
      </c>
      <c r="B239" s="24">
        <v>140000</v>
      </c>
      <c r="C239" s="33">
        <v>8400</v>
      </c>
      <c r="D239" s="43" t="s">
        <v>2773</v>
      </c>
    </row>
    <row r="240" spans="1:4">
      <c r="B240" s="24">
        <v>140000</v>
      </c>
      <c r="C240" s="33">
        <v>8400</v>
      </c>
      <c r="D240" s="43" t="s">
        <v>2773</v>
      </c>
    </row>
    <row r="241" spans="1:4">
      <c r="B241" s="24">
        <v>140000</v>
      </c>
      <c r="C241" s="33">
        <v>8400</v>
      </c>
      <c r="D241" s="43" t="s">
        <v>2773</v>
      </c>
    </row>
    <row r="242" spans="1:4">
      <c r="C242" s="33">
        <v>1900</v>
      </c>
      <c r="D242" s="43" t="s">
        <v>2924</v>
      </c>
    </row>
    <row r="243" spans="1:4">
      <c r="C243" s="33">
        <v>1500</v>
      </c>
      <c r="D243" s="43" t="s">
        <v>2925</v>
      </c>
    </row>
    <row r="244" spans="1:4">
      <c r="C244" s="33">
        <v>6000</v>
      </c>
      <c r="D244" s="43" t="s">
        <v>2926</v>
      </c>
    </row>
    <row r="245" spans="1:4">
      <c r="C245" s="33">
        <v>243600</v>
      </c>
      <c r="D245" s="43" t="s">
        <v>2927</v>
      </c>
    </row>
    <row r="246" spans="1:4">
      <c r="A246" s="20">
        <v>45894</v>
      </c>
      <c r="B246" s="24">
        <v>130000</v>
      </c>
      <c r="C246" s="33">
        <v>7800</v>
      </c>
      <c r="D246" s="43" t="s">
        <v>2928</v>
      </c>
    </row>
    <row r="247" spans="1:4">
      <c r="C247" s="33">
        <v>26100</v>
      </c>
      <c r="D247" s="43" t="s">
        <v>2906</v>
      </c>
    </row>
    <row r="248" spans="1:4">
      <c r="B248" s="24">
        <v>110000</v>
      </c>
      <c r="C248" s="33">
        <v>6600</v>
      </c>
      <c r="D248" s="43" t="s">
        <v>2929</v>
      </c>
    </row>
    <row r="249" spans="1:4">
      <c r="C249" s="33">
        <v>20000</v>
      </c>
      <c r="D249" s="43" t="s">
        <v>2930</v>
      </c>
    </row>
    <row r="250" spans="1:4">
      <c r="B250" s="102">
        <v>11000</v>
      </c>
      <c r="C250" s="100">
        <v>660</v>
      </c>
      <c r="D250" s="43" t="s">
        <v>2931</v>
      </c>
    </row>
    <row r="251" spans="1:4">
      <c r="B251" s="102"/>
      <c r="C251" s="101">
        <v>6685</v>
      </c>
      <c r="D251" s="109" t="s">
        <v>2932</v>
      </c>
    </row>
    <row r="252" spans="1:4">
      <c r="B252" s="102"/>
      <c r="C252" s="101">
        <v>721</v>
      </c>
      <c r="D252" s="109"/>
    </row>
    <row r="253" spans="1:4">
      <c r="B253" s="102"/>
      <c r="C253" s="101">
        <v>3356</v>
      </c>
      <c r="D253" s="109"/>
    </row>
    <row r="254" spans="1:4">
      <c r="B254" s="102"/>
      <c r="C254" s="101">
        <v>1088</v>
      </c>
      <c r="D254" s="109"/>
    </row>
    <row r="255" spans="1:4">
      <c r="A255" s="20">
        <v>45898</v>
      </c>
      <c r="B255" s="102">
        <v>848796</v>
      </c>
      <c r="C255" s="101">
        <v>50928</v>
      </c>
      <c r="D255" s="43" t="s">
        <v>2933</v>
      </c>
    </row>
    <row r="256" spans="1:4">
      <c r="B256" s="102">
        <v>30000</v>
      </c>
      <c r="C256" s="101">
        <v>1800</v>
      </c>
      <c r="D256" s="109" t="s">
        <v>2934</v>
      </c>
    </row>
    <row r="257" spans="1:4">
      <c r="B257" s="102">
        <v>50000</v>
      </c>
      <c r="C257" s="101">
        <v>3000</v>
      </c>
      <c r="D257" s="109"/>
    </row>
    <row r="258" spans="1:4">
      <c r="B258" s="102">
        <v>30000</v>
      </c>
      <c r="C258" s="101">
        <v>1800</v>
      </c>
      <c r="D258" s="109"/>
    </row>
    <row r="259" spans="1:4">
      <c r="B259" s="102">
        <v>50000</v>
      </c>
      <c r="C259" s="101">
        <v>3000</v>
      </c>
      <c r="D259" s="109"/>
    </row>
    <row r="260" spans="1:4">
      <c r="A260" s="20">
        <v>45902</v>
      </c>
      <c r="B260" s="102"/>
      <c r="C260" s="101">
        <v>604</v>
      </c>
      <c r="D260" s="43" t="s">
        <v>2935</v>
      </c>
    </row>
    <row r="261" spans="1:4">
      <c r="A261" s="20">
        <v>45911</v>
      </c>
      <c r="B261" s="102"/>
      <c r="C261" s="101">
        <v>150000</v>
      </c>
      <c r="D261" s="43" t="s">
        <v>2936</v>
      </c>
    </row>
    <row r="262" spans="1:4">
      <c r="B262" s="102"/>
      <c r="C262" s="101">
        <v>20000</v>
      </c>
      <c r="D262" s="43" t="s">
        <v>2937</v>
      </c>
    </row>
    <row r="263" spans="1:4">
      <c r="B263" s="102"/>
      <c r="C263" s="101">
        <v>28076</v>
      </c>
      <c r="D263" s="43" t="s">
        <v>2938</v>
      </c>
    </row>
    <row r="264" spans="1:4">
      <c r="B264" s="102"/>
      <c r="C264" s="101">
        <v>8919</v>
      </c>
      <c r="D264" s="43" t="s">
        <v>2938</v>
      </c>
    </row>
    <row r="265" spans="1:4">
      <c r="B265" s="102"/>
      <c r="C265" s="101">
        <v>4394</v>
      </c>
      <c r="D265" s="43" t="s">
        <v>2939</v>
      </c>
    </row>
    <row r="266" spans="1:4">
      <c r="B266" s="102"/>
      <c r="C266" s="101">
        <v>18540</v>
      </c>
      <c r="D266" s="43" t="s">
        <v>160</v>
      </c>
    </row>
    <row r="267" spans="1:4">
      <c r="B267" s="102"/>
      <c r="C267" s="100">
        <v>44076</v>
      </c>
      <c r="D267" s="43" t="s">
        <v>2940</v>
      </c>
    </row>
    <row r="268" spans="1:4">
      <c r="B268" s="102">
        <v>429760</v>
      </c>
      <c r="C268" s="103">
        <v>25786</v>
      </c>
      <c r="D268" s="43" t="s">
        <v>2941</v>
      </c>
    </row>
    <row r="269" spans="1:4">
      <c r="C269" s="33">
        <v>5097</v>
      </c>
      <c r="D269" s="43" t="s">
        <v>1554</v>
      </c>
    </row>
    <row r="270" spans="1:4">
      <c r="C270" s="33">
        <v>65500</v>
      </c>
      <c r="D270" s="43" t="s">
        <v>2025</v>
      </c>
    </row>
    <row r="271" spans="1:4">
      <c r="A271" s="20">
        <v>45912</v>
      </c>
      <c r="B271" s="24">
        <v>1586270</v>
      </c>
      <c r="C271" s="33">
        <v>95177</v>
      </c>
      <c r="D271" s="43" t="s">
        <v>2942</v>
      </c>
    </row>
    <row r="272" spans="1:4">
      <c r="C272" s="33">
        <v>1380000</v>
      </c>
      <c r="D272" s="43" t="s">
        <v>2942</v>
      </c>
    </row>
    <row r="273" spans="1:4">
      <c r="A273" s="20">
        <v>45916</v>
      </c>
      <c r="C273" s="33">
        <v>37400</v>
      </c>
      <c r="D273" s="43" t="s">
        <v>1670</v>
      </c>
    </row>
    <row r="274" spans="1:4">
      <c r="C274" s="33">
        <v>50000</v>
      </c>
      <c r="D274" s="43" t="s">
        <v>2943</v>
      </c>
    </row>
    <row r="275" spans="1:4">
      <c r="C275" s="33">
        <v>6000</v>
      </c>
      <c r="D275" s="43" t="s">
        <v>2944</v>
      </c>
    </row>
    <row r="276" spans="1:4">
      <c r="C276" s="33">
        <v>3500</v>
      </c>
      <c r="D276" s="43" t="s">
        <v>2696</v>
      </c>
    </row>
    <row r="277" spans="1:4">
      <c r="C277" s="33">
        <v>7500</v>
      </c>
      <c r="D277" s="43" t="s">
        <v>2945</v>
      </c>
    </row>
    <row r="278" spans="1:4">
      <c r="A278" s="20">
        <v>45917</v>
      </c>
      <c r="C278" s="33">
        <v>15000</v>
      </c>
      <c r="D278" s="43" t="s">
        <v>2946</v>
      </c>
    </row>
    <row r="279" spans="1:4">
      <c r="C279" s="33">
        <v>16000</v>
      </c>
      <c r="D279" s="43" t="s">
        <v>2947</v>
      </c>
    </row>
    <row r="280" spans="1:4">
      <c r="C280" s="33">
        <v>37500</v>
      </c>
      <c r="D280" s="43" t="s">
        <v>2948</v>
      </c>
    </row>
    <row r="281" spans="1:4">
      <c r="C281" s="33">
        <v>15000</v>
      </c>
      <c r="D281" s="43" t="s">
        <v>2949</v>
      </c>
    </row>
    <row r="282" spans="1:4">
      <c r="C282" s="33">
        <v>20000</v>
      </c>
      <c r="D282" s="43" t="s">
        <v>2950</v>
      </c>
    </row>
    <row r="283" spans="1:4">
      <c r="C283" s="33">
        <v>13200</v>
      </c>
      <c r="D283" s="43" t="s">
        <v>2951</v>
      </c>
    </row>
    <row r="284" spans="1:4">
      <c r="C284" s="33">
        <v>15000</v>
      </c>
      <c r="D284" s="43" t="s">
        <v>2952</v>
      </c>
    </row>
    <row r="285" spans="1:4">
      <c r="C285" s="33">
        <v>9000</v>
      </c>
      <c r="D285" s="43" t="s">
        <v>2953</v>
      </c>
    </row>
    <row r="286" spans="1:4">
      <c r="C286" s="33">
        <v>7500</v>
      </c>
      <c r="D286" s="43" t="s">
        <v>2954</v>
      </c>
    </row>
    <row r="287" spans="1:4">
      <c r="C287" s="33">
        <v>29369</v>
      </c>
      <c r="D287" s="43" t="s">
        <v>2955</v>
      </c>
    </row>
    <row r="288" spans="1:4">
      <c r="A288" s="20">
        <v>45918</v>
      </c>
      <c r="C288" s="33">
        <v>7182</v>
      </c>
      <c r="D288" s="43" t="s">
        <v>2956</v>
      </c>
    </row>
    <row r="289" spans="1:4">
      <c r="A289" s="20">
        <v>45919</v>
      </c>
      <c r="C289" s="33">
        <v>1156</v>
      </c>
      <c r="D289" s="43" t="s">
        <v>89</v>
      </c>
    </row>
    <row r="290" spans="1:4">
      <c r="A290" s="20">
        <v>45922</v>
      </c>
      <c r="C290" s="33">
        <v>32000</v>
      </c>
      <c r="D290" s="43" t="s">
        <v>2903</v>
      </c>
    </row>
    <row r="291" spans="1:4">
      <c r="C291" s="33">
        <v>50000</v>
      </c>
      <c r="D291" s="43" t="s">
        <v>2957</v>
      </c>
    </row>
    <row r="292" spans="1:4">
      <c r="C292" s="33">
        <v>11021</v>
      </c>
      <c r="D292" s="43" t="s">
        <v>2955</v>
      </c>
    </row>
    <row r="293" spans="1:4">
      <c r="A293" s="20">
        <v>45925</v>
      </c>
      <c r="B293" s="24">
        <v>10000</v>
      </c>
      <c r="D293" s="43" t="s">
        <v>2958</v>
      </c>
    </row>
    <row r="294" spans="1:4">
      <c r="B294" s="24">
        <v>10000</v>
      </c>
      <c r="D294" s="43" t="s">
        <v>2959</v>
      </c>
    </row>
    <row r="295" spans="1:4">
      <c r="B295" s="24">
        <v>429760.34</v>
      </c>
      <c r="C295" s="33">
        <v>25786</v>
      </c>
      <c r="D295" s="43" t="s">
        <v>2960</v>
      </c>
    </row>
    <row r="296" spans="1:4">
      <c r="B296" s="24">
        <v>3260000</v>
      </c>
      <c r="C296" s="33">
        <v>195600</v>
      </c>
      <c r="D296" s="43" t="s">
        <v>2961</v>
      </c>
    </row>
    <row r="297" spans="1:4">
      <c r="C297" s="33">
        <v>220000</v>
      </c>
      <c r="D297" s="43" t="s">
        <v>2962</v>
      </c>
    </row>
    <row r="298" spans="1:4">
      <c r="C298" s="33">
        <v>120000</v>
      </c>
      <c r="D298" s="43" t="s">
        <v>2963</v>
      </c>
    </row>
    <row r="299" spans="1:4">
      <c r="A299" s="20">
        <v>45937</v>
      </c>
      <c r="C299" s="33">
        <v>22000</v>
      </c>
      <c r="D299" s="43" t="s">
        <v>2964</v>
      </c>
    </row>
    <row r="300" spans="1:4">
      <c r="C300" s="33">
        <v>152000</v>
      </c>
      <c r="D300" s="43" t="s">
        <v>2965</v>
      </c>
    </row>
    <row r="301" spans="1:4">
      <c r="C301" s="33">
        <v>13000</v>
      </c>
      <c r="D301" s="43" t="s">
        <v>2966</v>
      </c>
    </row>
    <row r="302" spans="1:4">
      <c r="A302" s="20">
        <v>45939</v>
      </c>
      <c r="B302" s="24">
        <v>5000</v>
      </c>
      <c r="D302" s="43" t="s">
        <v>2967</v>
      </c>
    </row>
    <row r="303" spans="1:4">
      <c r="C303" s="33">
        <v>4000</v>
      </c>
      <c r="D303" s="99" t="s">
        <v>2968</v>
      </c>
    </row>
    <row r="304" spans="1:4">
      <c r="A304" s="20">
        <v>45941</v>
      </c>
      <c r="C304" s="33">
        <v>8500</v>
      </c>
      <c r="D304" s="99" t="s">
        <v>2969</v>
      </c>
    </row>
    <row r="305" spans="1:4">
      <c r="C305" s="33">
        <v>26000</v>
      </c>
      <c r="D305" s="99" t="s">
        <v>2970</v>
      </c>
    </row>
    <row r="306" spans="1:4">
      <c r="C306" s="33">
        <v>4289</v>
      </c>
      <c r="D306" s="43" t="s">
        <v>2971</v>
      </c>
    </row>
    <row r="307" spans="1:4">
      <c r="A307" s="20">
        <v>45950</v>
      </c>
      <c r="C307" s="33">
        <v>400000</v>
      </c>
      <c r="D307" s="43" t="s">
        <v>2973</v>
      </c>
    </row>
    <row r="308" spans="1:4">
      <c r="C308" s="33">
        <v>150000</v>
      </c>
      <c r="D308" s="43" t="s">
        <v>2974</v>
      </c>
    </row>
    <row r="309" spans="1:4">
      <c r="C309" s="33">
        <v>7000</v>
      </c>
    </row>
    <row r="310" spans="1:4">
      <c r="C310" s="33">
        <v>1836</v>
      </c>
    </row>
    <row r="311" spans="1:4">
      <c r="C311" s="33">
        <v>6755</v>
      </c>
    </row>
    <row r="312" spans="1:4">
      <c r="C312" s="33">
        <v>2309</v>
      </c>
    </row>
    <row r="313" spans="1:4">
      <c r="C313" s="33">
        <v>12148</v>
      </c>
    </row>
    <row r="314" spans="1:4">
      <c r="C314" s="33">
        <v>13706</v>
      </c>
    </row>
    <row r="315" spans="1:4">
      <c r="C315" s="33">
        <v>3600</v>
      </c>
    </row>
    <row r="316" spans="1:4">
      <c r="C316" s="33">
        <v>7097</v>
      </c>
    </row>
    <row r="317" spans="1:4">
      <c r="C317" s="33">
        <v>47000</v>
      </c>
      <c r="D317" s="43" t="s">
        <v>2975</v>
      </c>
    </row>
    <row r="318" spans="1:4">
      <c r="B318" s="24">
        <v>130002</v>
      </c>
      <c r="C318" s="33">
        <v>7801</v>
      </c>
      <c r="D318" s="43" t="s">
        <v>2774</v>
      </c>
    </row>
    <row r="319" spans="1:4">
      <c r="B319" s="24">
        <v>22500</v>
      </c>
      <c r="C319" s="33">
        <v>1350</v>
      </c>
      <c r="D319" s="43" t="s">
        <v>2934</v>
      </c>
    </row>
    <row r="320" spans="1:4">
      <c r="B320" s="24">
        <v>901578</v>
      </c>
      <c r="C320" s="33">
        <v>54095</v>
      </c>
      <c r="D320" s="43" t="s">
        <v>2976</v>
      </c>
    </row>
    <row r="321" spans="1:4">
      <c r="B321" s="24">
        <v>22500</v>
      </c>
      <c r="C321" s="33">
        <v>1350</v>
      </c>
      <c r="D321" s="43" t="s">
        <v>2918</v>
      </c>
    </row>
    <row r="322" spans="1:4">
      <c r="B322" s="24">
        <v>33000</v>
      </c>
      <c r="C322" s="33">
        <v>1980</v>
      </c>
      <c r="D322" s="43" t="s">
        <v>2977</v>
      </c>
    </row>
    <row r="323" spans="1:4">
      <c r="B323" s="24">
        <v>16500</v>
      </c>
      <c r="C323" s="33">
        <v>990</v>
      </c>
      <c r="D323" s="43" t="s">
        <v>2173</v>
      </c>
    </row>
    <row r="324" spans="1:4">
      <c r="B324" s="24">
        <v>45000</v>
      </c>
      <c r="C324" s="33">
        <v>2700</v>
      </c>
      <c r="D324" s="43" t="s">
        <v>2978</v>
      </c>
    </row>
    <row r="325" spans="1:4">
      <c r="A325" s="20">
        <v>45954</v>
      </c>
      <c r="C325" s="33">
        <v>35000</v>
      </c>
      <c r="D325" s="43" t="s">
        <v>2972</v>
      </c>
    </row>
    <row r="326" spans="1:4">
      <c r="C326" s="33">
        <v>4700</v>
      </c>
      <c r="D326" s="43" t="s">
        <v>2979</v>
      </c>
    </row>
    <row r="327" spans="1:4">
      <c r="A327" s="20">
        <v>45959</v>
      </c>
      <c r="C327" s="33">
        <v>6820</v>
      </c>
      <c r="D327" s="43" t="s">
        <v>2980</v>
      </c>
    </row>
    <row r="328" spans="1:4">
      <c r="C328" s="33">
        <v>6200</v>
      </c>
      <c r="D328" s="43" t="s">
        <v>2981</v>
      </c>
    </row>
    <row r="329" spans="1:4">
      <c r="A329" s="20">
        <v>45961</v>
      </c>
      <c r="B329" s="24">
        <v>4000000</v>
      </c>
      <c r="C329" s="33">
        <v>240000</v>
      </c>
      <c r="D329" s="43" t="s">
        <v>2982</v>
      </c>
    </row>
    <row r="330" spans="1:4">
      <c r="C330" s="33">
        <v>5000</v>
      </c>
      <c r="D330" s="43" t="s">
        <v>2983</v>
      </c>
    </row>
    <row r="331" spans="1:4">
      <c r="B331" s="24">
        <v>50000</v>
      </c>
      <c r="D331" s="43" t="s">
        <v>2984</v>
      </c>
    </row>
    <row r="332" spans="1:4">
      <c r="B332" s="24">
        <v>10000</v>
      </c>
      <c r="D332" s="43" t="s">
        <v>2985</v>
      </c>
    </row>
    <row r="333" spans="1:4">
      <c r="C333" s="33">
        <v>6000</v>
      </c>
      <c r="D333" s="43" t="s">
        <v>2986</v>
      </c>
    </row>
    <row r="334" spans="1:4">
      <c r="A334" s="20">
        <v>45966</v>
      </c>
      <c r="C334" s="33">
        <v>1253</v>
      </c>
      <c r="D334" s="43" t="s">
        <v>1494</v>
      </c>
    </row>
    <row r="335" spans="1:4">
      <c r="A335" s="20">
        <v>45971</v>
      </c>
      <c r="C335" s="33">
        <v>7000</v>
      </c>
      <c r="D335" s="43" t="s">
        <v>2987</v>
      </c>
    </row>
    <row r="336" spans="1:4">
      <c r="C336" s="33">
        <v>1127637.33</v>
      </c>
      <c r="D336" s="43" t="s">
        <v>2988</v>
      </c>
    </row>
    <row r="337" spans="1:4">
      <c r="C337" s="33">
        <v>15000</v>
      </c>
      <c r="D337" s="43" t="s">
        <v>2989</v>
      </c>
    </row>
    <row r="338" spans="1:4">
      <c r="C338" s="33">
        <v>7000</v>
      </c>
      <c r="D338" s="43" t="s">
        <v>2990</v>
      </c>
    </row>
    <row r="339" spans="1:4">
      <c r="C339" s="33">
        <v>1500</v>
      </c>
      <c r="D339" s="43" t="s">
        <v>2991</v>
      </c>
    </row>
    <row r="340" spans="1:4">
      <c r="B340" s="24">
        <v>30000</v>
      </c>
      <c r="D340" s="43" t="s">
        <v>2992</v>
      </c>
    </row>
    <row r="341" spans="1:4">
      <c r="C341" s="33">
        <v>9700</v>
      </c>
      <c r="D341" s="43" t="s">
        <v>2993</v>
      </c>
    </row>
    <row r="342" spans="1:4">
      <c r="B342" s="24">
        <v>140000</v>
      </c>
      <c r="C342" s="33">
        <v>8400</v>
      </c>
      <c r="D342" s="108" t="s">
        <v>2773</v>
      </c>
    </row>
    <row r="343" spans="1:4">
      <c r="B343" s="24">
        <v>140000</v>
      </c>
      <c r="C343" s="33">
        <v>8400</v>
      </c>
      <c r="D343" s="108"/>
    </row>
    <row r="344" spans="1:4">
      <c r="B344" s="24">
        <v>140000</v>
      </c>
      <c r="C344" s="33">
        <v>8400</v>
      </c>
      <c r="D344" s="108"/>
    </row>
    <row r="345" spans="1:4">
      <c r="B345" s="24">
        <v>35000</v>
      </c>
      <c r="C345" s="33">
        <v>2100</v>
      </c>
      <c r="D345" s="99" t="s">
        <v>2994</v>
      </c>
    </row>
    <row r="346" spans="1:4">
      <c r="C346" s="33">
        <v>8400</v>
      </c>
      <c r="D346" s="99" t="s">
        <v>2995</v>
      </c>
    </row>
    <row r="347" spans="1:4">
      <c r="A347" s="20">
        <v>45975</v>
      </c>
      <c r="C347" s="33">
        <v>65000</v>
      </c>
      <c r="D347" s="99" t="s">
        <v>2996</v>
      </c>
    </row>
    <row r="348" spans="1:4">
      <c r="B348" s="24">
        <v>27000</v>
      </c>
      <c r="C348" s="33">
        <v>1620</v>
      </c>
      <c r="D348" s="43" t="s">
        <v>2931</v>
      </c>
    </row>
    <row r="349" spans="1:4">
      <c r="B349" s="24">
        <v>500000</v>
      </c>
      <c r="C349" s="33">
        <v>30000</v>
      </c>
      <c r="D349" s="43" t="s">
        <v>2997</v>
      </c>
    </row>
    <row r="350" spans="1:4">
      <c r="B350" s="24">
        <v>90000</v>
      </c>
      <c r="C350" s="33">
        <v>5400</v>
      </c>
      <c r="D350" s="43" t="s">
        <v>2998</v>
      </c>
    </row>
    <row r="351" spans="1:4">
      <c r="A351" s="20">
        <v>45981</v>
      </c>
      <c r="B351" s="24">
        <v>50000</v>
      </c>
      <c r="D351" s="43" t="s">
        <v>2999</v>
      </c>
    </row>
    <row r="352" spans="1:4">
      <c r="C352" s="33">
        <v>47000</v>
      </c>
      <c r="D352" s="43" t="s">
        <v>3000</v>
      </c>
    </row>
    <row r="353" spans="3:5">
      <c r="C353" s="33">
        <v>3600</v>
      </c>
      <c r="D353" s="43" t="s">
        <v>3001</v>
      </c>
    </row>
    <row r="357" spans="3:5">
      <c r="E357"/>
    </row>
    <row r="379" spans="4:4">
      <c r="D379" s="104"/>
    </row>
    <row r="380" spans="4:4">
      <c r="D380" s="104"/>
    </row>
    <row r="381" spans="4:4">
      <c r="D381" s="104"/>
    </row>
    <row r="382" spans="4:4">
      <c r="D382" s="104"/>
    </row>
    <row r="383" spans="4:4">
      <c r="D383" s="104"/>
    </row>
    <row r="384" spans="4:4">
      <c r="D384" s="104"/>
    </row>
    <row r="393" spans="4:4">
      <c r="D393" s="104"/>
    </row>
    <row r="394" spans="4:4">
      <c r="D394" s="104"/>
    </row>
    <row r="395" spans="4:4">
      <c r="D395" s="104"/>
    </row>
    <row r="396" spans="4:4">
      <c r="D396" s="104"/>
    </row>
    <row r="426" spans="4:4">
      <c r="D426" s="18"/>
    </row>
    <row r="427" spans="4:4">
      <c r="D427" s="18"/>
    </row>
    <row r="428" spans="4:4">
      <c r="D428" s="18"/>
    </row>
    <row r="429" spans="4:4">
      <c r="D429" s="18"/>
    </row>
    <row r="430" spans="4:4">
      <c r="D430" s="18"/>
    </row>
    <row r="431" spans="4:4">
      <c r="D431" s="18"/>
    </row>
    <row r="432" spans="4:4">
      <c r="D432" s="18"/>
    </row>
    <row r="433" spans="4:4">
      <c r="D433" s="18"/>
    </row>
    <row r="434" spans="4:4">
      <c r="D434" s="18"/>
    </row>
    <row r="435" spans="4:4">
      <c r="D435" s="18"/>
    </row>
    <row r="436" spans="4:4">
      <c r="D436" s="18"/>
    </row>
    <row r="437" spans="4:4">
      <c r="D437" s="18"/>
    </row>
    <row r="438" spans="4:4">
      <c r="D438" s="18"/>
    </row>
    <row r="439" spans="4:4">
      <c r="D439" s="18"/>
    </row>
    <row r="440" spans="4:4">
      <c r="D440" s="18"/>
    </row>
    <row r="441" spans="4:4">
      <c r="D441" s="18"/>
    </row>
    <row r="443" spans="4:4">
      <c r="D443" s="18"/>
    </row>
    <row r="444" spans="4:4">
      <c r="D444" s="18"/>
    </row>
    <row r="445" spans="4:4">
      <c r="D445" s="18"/>
    </row>
    <row r="446" spans="4:4">
      <c r="D446" s="18"/>
    </row>
    <row r="447" spans="4:4">
      <c r="D447" s="18"/>
    </row>
    <row r="448" spans="4:4">
      <c r="D448" s="18"/>
    </row>
    <row r="449" spans="4:4">
      <c r="D449" s="18"/>
    </row>
    <row r="450" spans="4:4">
      <c r="D450" s="18"/>
    </row>
    <row r="451" spans="4:4">
      <c r="D451" s="18"/>
    </row>
    <row r="452" spans="4:4">
      <c r="D452" s="18"/>
    </row>
    <row r="453" spans="4:4">
      <c r="D453" s="18"/>
    </row>
    <row r="454" spans="4:4">
      <c r="D454" s="18"/>
    </row>
    <row r="455" spans="4:4">
      <c r="D455" s="18"/>
    </row>
    <row r="456" spans="4:4">
      <c r="D456" s="18"/>
    </row>
    <row r="457" spans="4:4">
      <c r="D457" s="18"/>
    </row>
    <row r="458" spans="4:4">
      <c r="D458" s="18"/>
    </row>
    <row r="459" spans="4:4">
      <c r="D459" s="18"/>
    </row>
    <row r="460" spans="4:4">
      <c r="D460" s="18"/>
    </row>
    <row r="461" spans="4:4">
      <c r="D461" s="18"/>
    </row>
    <row r="498" spans="4:4">
      <c r="D498" s="18"/>
    </row>
    <row r="499" spans="4:4">
      <c r="D499" s="18"/>
    </row>
    <row r="500" spans="4:4">
      <c r="D500" s="18"/>
    </row>
    <row r="501" spans="4:4">
      <c r="D501" s="18"/>
    </row>
    <row r="502" spans="4:4">
      <c r="D502" s="18"/>
    </row>
    <row r="503" spans="4:4">
      <c r="D503" s="18"/>
    </row>
    <row r="525" spans="4:4">
      <c r="D525" s="104"/>
    </row>
    <row r="526" spans="4:4">
      <c r="D526" s="104"/>
    </row>
    <row r="527" spans="4:4">
      <c r="D527" s="104"/>
    </row>
    <row r="564" spans="4:9">
      <c r="I564" s="98" t="s">
        <v>2280</v>
      </c>
    </row>
    <row r="565" spans="4:9">
      <c r="I565" s="98" t="s">
        <v>2280</v>
      </c>
    </row>
    <row r="575" spans="4:9">
      <c r="D575" s="104"/>
    </row>
    <row r="576" spans="4:9">
      <c r="D576" s="104"/>
    </row>
    <row r="577" spans="4:4">
      <c r="D577" s="104"/>
    </row>
    <row r="578" spans="4:4">
      <c r="D578" s="104"/>
    </row>
    <row r="678" spans="4:4">
      <c r="D678" s="18"/>
    </row>
    <row r="745" spans="1:4" ht="13.5" thickBot="1"/>
    <row r="746" spans="1:4" ht="15.75" thickBot="1">
      <c r="A746" s="91"/>
      <c r="B746" s="92"/>
      <c r="C746" s="93"/>
      <c r="D746" s="94"/>
    </row>
    <row r="747" spans="1:4" ht="15.75" thickBot="1">
      <c r="A747" s="91"/>
      <c r="B747" s="92"/>
      <c r="C747" s="93"/>
      <c r="D747" s="94"/>
    </row>
    <row r="748" spans="1:4" ht="15.75" thickBot="1">
      <c r="A748" s="91"/>
      <c r="B748" s="92"/>
      <c r="C748" s="93"/>
      <c r="D748" s="94"/>
    </row>
    <row r="749" spans="1:4" ht="15.75" thickBot="1">
      <c r="A749" s="91"/>
      <c r="B749" s="92"/>
      <c r="C749" s="93"/>
      <c r="D749" s="94"/>
    </row>
    <row r="750" spans="1:4" ht="15.75" thickBot="1">
      <c r="A750" s="91"/>
      <c r="B750" s="92"/>
      <c r="C750" s="93"/>
      <c r="D750" s="94"/>
    </row>
    <row r="751" spans="1:4" ht="15.75" thickBot="1">
      <c r="A751" s="91"/>
      <c r="B751" s="92"/>
      <c r="C751" s="93"/>
      <c r="D751" s="94"/>
    </row>
    <row r="752" spans="1:4" ht="15.75" thickBot="1">
      <c r="A752" s="91"/>
      <c r="B752" s="92"/>
      <c r="C752" s="93"/>
      <c r="D752" s="94"/>
    </row>
    <row r="753" spans="1:4" ht="15.75" thickBot="1">
      <c r="A753" s="91"/>
      <c r="B753" s="92"/>
      <c r="C753" s="93"/>
      <c r="D753" s="94"/>
    </row>
    <row r="754" spans="1:4" ht="15.75" thickBot="1">
      <c r="A754" s="91"/>
      <c r="B754" s="92"/>
      <c r="C754" s="93"/>
      <c r="D754" s="94"/>
    </row>
    <row r="755" spans="1:4" ht="15.75" thickBot="1">
      <c r="A755" s="91"/>
      <c r="B755" s="92"/>
      <c r="C755" s="93"/>
      <c r="D755" s="94"/>
    </row>
    <row r="756" spans="1:4" ht="15.75" thickBot="1">
      <c r="A756" s="91"/>
      <c r="B756" s="92"/>
      <c r="C756" s="93"/>
      <c r="D756" s="94"/>
    </row>
    <row r="757" spans="1:4" ht="15.75" thickBot="1">
      <c r="A757" s="91"/>
      <c r="B757" s="92"/>
      <c r="C757" s="93"/>
      <c r="D757" s="94"/>
    </row>
    <row r="758" spans="1:4" ht="15.75" thickBot="1">
      <c r="A758" s="91"/>
      <c r="B758" s="92"/>
      <c r="C758" s="93"/>
      <c r="D758" s="94"/>
    </row>
    <row r="759" spans="1:4" ht="15.75" thickBot="1">
      <c r="A759" s="91"/>
      <c r="B759" s="92"/>
      <c r="C759" s="93"/>
      <c r="D759" s="94"/>
    </row>
    <row r="760" spans="1:4" ht="15.75" thickBot="1">
      <c r="A760" s="91"/>
      <c r="B760" s="92"/>
      <c r="C760" s="93"/>
      <c r="D760" s="94"/>
    </row>
    <row r="761" spans="1:4" ht="15.75" thickBot="1">
      <c r="A761" s="91"/>
      <c r="B761" s="92"/>
      <c r="C761" s="93"/>
      <c r="D761" s="94"/>
    </row>
  </sheetData>
  <mergeCells count="12">
    <mergeCell ref="D575:D578"/>
    <mergeCell ref="F1:H1"/>
    <mergeCell ref="F2:H2"/>
    <mergeCell ref="B3:C3"/>
    <mergeCell ref="G3:H3"/>
    <mergeCell ref="D379:D384"/>
    <mergeCell ref="D393:D396"/>
    <mergeCell ref="D525:D527"/>
    <mergeCell ref="D87:D90"/>
    <mergeCell ref="D251:D254"/>
    <mergeCell ref="D256:D259"/>
    <mergeCell ref="D342:D344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D8BE-6180-4BEA-B33E-3B8D3E79FEC4}">
  <sheetPr>
    <tabColor indexed="17"/>
  </sheetPr>
  <dimension ref="A1:I740"/>
  <sheetViews>
    <sheetView zoomScale="120" zoomScaleNormal="120" workbookViewId="0">
      <pane ySplit="3" topLeftCell="A560" activePane="bottomLeft" state="frozen"/>
      <selection pane="bottomLeft" activeCell="E3" sqref="E3"/>
    </sheetView>
  </sheetViews>
  <sheetFormatPr defaultRowHeight="12.75"/>
  <cols>
    <col min="1" max="1" width="16.85546875" style="20" customWidth="1"/>
    <col min="2" max="2" width="16.85546875" style="24" customWidth="1"/>
    <col min="3" max="3" width="16.85546875" style="33" customWidth="1"/>
    <col min="4" max="4" width="107.7109375" style="43" customWidth="1"/>
    <col min="5" max="5" width="12.42578125" style="3" customWidth="1"/>
    <col min="6" max="6" width="13.85546875" customWidth="1"/>
    <col min="9" max="9" width="9.140625" style="98"/>
  </cols>
  <sheetData>
    <row r="1" spans="1:9" s="2" customFormat="1" ht="24" customHeight="1">
      <c r="A1" s="17" t="s">
        <v>0</v>
      </c>
      <c r="B1" s="1" t="s">
        <v>1</v>
      </c>
      <c r="C1" s="22" t="s">
        <v>2</v>
      </c>
      <c r="D1" s="41" t="s">
        <v>3</v>
      </c>
      <c r="E1" s="61">
        <v>365</v>
      </c>
      <c r="F1" s="105" t="s">
        <v>272</v>
      </c>
      <c r="G1" s="105"/>
      <c r="H1" s="105"/>
      <c r="I1" s="96"/>
    </row>
    <row r="2" spans="1:9" s="2" customFormat="1" ht="24" customHeight="1">
      <c r="A2" s="19"/>
      <c r="B2" s="23">
        <f>SUM(B4:B1040)</f>
        <v>15229575.219999999</v>
      </c>
      <c r="C2" s="32">
        <f>SUM(C4:C1040)</f>
        <v>10403067</v>
      </c>
      <c r="D2" s="42"/>
      <c r="E2" s="62">
        <f>B3/E1</f>
        <v>13223.310191780818</v>
      </c>
      <c r="F2" s="106" t="s">
        <v>274</v>
      </c>
      <c r="G2" s="106"/>
      <c r="H2" s="106"/>
      <c r="I2" s="97"/>
    </row>
    <row r="3" spans="1:9" s="2" customFormat="1" ht="24" customHeight="1">
      <c r="A3" s="19" t="s">
        <v>4</v>
      </c>
      <c r="B3" s="107">
        <f>B2-C2</f>
        <v>4826508.2199999988</v>
      </c>
      <c r="C3" s="107"/>
      <c r="D3" s="42"/>
      <c r="E3" s="62">
        <f>E2/8</f>
        <v>1652.9137739726023</v>
      </c>
      <c r="F3" s="62">
        <f>E3*160</f>
        <v>264466.20383561635</v>
      </c>
      <c r="G3" s="105" t="s">
        <v>273</v>
      </c>
      <c r="H3" s="105"/>
      <c r="I3" s="97"/>
    </row>
    <row r="4" spans="1:9">
      <c r="A4" s="20">
        <v>45302</v>
      </c>
      <c r="B4" s="24">
        <v>4000</v>
      </c>
      <c r="D4" s="43" t="s">
        <v>2288</v>
      </c>
    </row>
    <row r="5" spans="1:9">
      <c r="C5" s="33">
        <v>20000</v>
      </c>
      <c r="D5" s="43" t="s">
        <v>2289</v>
      </c>
    </row>
    <row r="6" spans="1:9">
      <c r="C6" s="33">
        <v>17000</v>
      </c>
      <c r="D6" s="43" t="s">
        <v>2290</v>
      </c>
    </row>
    <row r="7" spans="1:9">
      <c r="C7" s="33">
        <v>4750</v>
      </c>
      <c r="D7" s="43" t="s">
        <v>2291</v>
      </c>
    </row>
    <row r="8" spans="1:9">
      <c r="C8" s="33">
        <v>17000</v>
      </c>
      <c r="D8" s="43" t="s">
        <v>2290</v>
      </c>
    </row>
    <row r="9" spans="1:9">
      <c r="C9" s="33">
        <v>1750</v>
      </c>
      <c r="D9" s="43" t="s">
        <v>55</v>
      </c>
    </row>
    <row r="10" spans="1:9">
      <c r="C10" s="33">
        <v>32800</v>
      </c>
      <c r="D10" s="43" t="s">
        <v>1718</v>
      </c>
    </row>
    <row r="11" spans="1:9">
      <c r="A11" s="20">
        <v>45303</v>
      </c>
      <c r="B11" s="24">
        <v>14000</v>
      </c>
      <c r="D11" s="43" t="s">
        <v>2292</v>
      </c>
    </row>
    <row r="12" spans="1:9">
      <c r="A12" s="20">
        <v>45306</v>
      </c>
      <c r="B12" s="24">
        <v>4400</v>
      </c>
      <c r="C12" s="33">
        <v>264</v>
      </c>
      <c r="D12" s="43" t="s">
        <v>2293</v>
      </c>
    </row>
    <row r="13" spans="1:9">
      <c r="B13" s="24">
        <v>72400</v>
      </c>
      <c r="C13" s="33">
        <v>4344</v>
      </c>
      <c r="D13" s="43" t="s">
        <v>2294</v>
      </c>
    </row>
    <row r="14" spans="1:9">
      <c r="B14" s="24">
        <v>50000</v>
      </c>
      <c r="C14" s="33">
        <v>3000</v>
      </c>
      <c r="D14" s="43" t="s">
        <v>2295</v>
      </c>
    </row>
    <row r="15" spans="1:9">
      <c r="A15" s="20">
        <v>45307</v>
      </c>
      <c r="B15" s="24">
        <v>53220</v>
      </c>
      <c r="C15" s="33">
        <v>3194</v>
      </c>
      <c r="D15" s="43" t="s">
        <v>2296</v>
      </c>
    </row>
    <row r="16" spans="1:9">
      <c r="C16" s="33">
        <v>15000</v>
      </c>
      <c r="D16" s="43" t="s">
        <v>2297</v>
      </c>
    </row>
    <row r="17" spans="1:4">
      <c r="A17" s="20">
        <v>45311</v>
      </c>
      <c r="B17" s="24">
        <v>6000</v>
      </c>
      <c r="D17" s="43" t="s">
        <v>2298</v>
      </c>
    </row>
    <row r="18" spans="1:4">
      <c r="A18" s="20">
        <v>45313</v>
      </c>
      <c r="C18" s="33">
        <v>11238</v>
      </c>
      <c r="D18" s="43" t="s">
        <v>2299</v>
      </c>
    </row>
    <row r="19" spans="1:4">
      <c r="C19" s="33">
        <v>88000</v>
      </c>
      <c r="D19" s="43" t="s">
        <v>2300</v>
      </c>
    </row>
    <row r="20" spans="1:4">
      <c r="C20" s="33">
        <v>37680</v>
      </c>
      <c r="D20" s="43" t="s">
        <v>2301</v>
      </c>
    </row>
    <row r="21" spans="1:4">
      <c r="C21" s="33">
        <v>84770</v>
      </c>
      <c r="D21" s="43" t="s">
        <v>2302</v>
      </c>
    </row>
    <row r="22" spans="1:4">
      <c r="C22" s="33">
        <v>4450</v>
      </c>
      <c r="D22" s="43" t="s">
        <v>2303</v>
      </c>
    </row>
    <row r="23" spans="1:4">
      <c r="A23" s="20">
        <v>45314</v>
      </c>
      <c r="B23" s="24">
        <v>15000</v>
      </c>
      <c r="C23" s="33">
        <v>900</v>
      </c>
      <c r="D23" s="43" t="s">
        <v>2304</v>
      </c>
    </row>
    <row r="24" spans="1:4">
      <c r="A24" s="20">
        <v>45316</v>
      </c>
      <c r="C24" s="33">
        <v>690000</v>
      </c>
      <c r="D24" s="43" t="s">
        <v>2305</v>
      </c>
    </row>
    <row r="25" spans="1:4">
      <c r="C25" s="33">
        <v>38230</v>
      </c>
      <c r="D25" s="43" t="s">
        <v>2306</v>
      </c>
    </row>
    <row r="26" spans="1:4">
      <c r="C26" s="33">
        <v>2200</v>
      </c>
      <c r="D26" s="43" t="s">
        <v>2307</v>
      </c>
    </row>
    <row r="27" spans="1:4">
      <c r="A27" s="20">
        <v>45317</v>
      </c>
      <c r="B27" s="24">
        <v>43250</v>
      </c>
      <c r="C27" s="33">
        <v>2595</v>
      </c>
      <c r="D27" s="43" t="s">
        <v>2308</v>
      </c>
    </row>
    <row r="28" spans="1:4">
      <c r="C28" s="33">
        <v>22000</v>
      </c>
      <c r="D28" s="43" t="s">
        <v>2309</v>
      </c>
    </row>
    <row r="29" spans="1:4">
      <c r="B29" s="24">
        <v>10000</v>
      </c>
      <c r="C29" s="33">
        <v>600</v>
      </c>
      <c r="D29" s="43" t="s">
        <v>2310</v>
      </c>
    </row>
    <row r="30" spans="1:4">
      <c r="C30" s="33">
        <v>10000</v>
      </c>
      <c r="D30" s="43" t="s">
        <v>2311</v>
      </c>
    </row>
    <row r="31" spans="1:4">
      <c r="A31" s="20">
        <v>45322</v>
      </c>
      <c r="B31" s="24">
        <v>20000</v>
      </c>
      <c r="D31" s="43" t="s">
        <v>2312</v>
      </c>
    </row>
    <row r="32" spans="1:4">
      <c r="C32" s="33">
        <v>1100</v>
      </c>
      <c r="D32" s="43" t="s">
        <v>2313</v>
      </c>
    </row>
    <row r="33" spans="1:4">
      <c r="A33" s="20">
        <v>45324</v>
      </c>
      <c r="B33" s="24">
        <v>75400</v>
      </c>
      <c r="C33" s="33">
        <v>4524</v>
      </c>
      <c r="D33" s="43" t="s">
        <v>2314</v>
      </c>
    </row>
    <row r="34" spans="1:4">
      <c r="B34" s="24">
        <v>5500</v>
      </c>
      <c r="C34" s="33">
        <v>330</v>
      </c>
      <c r="D34" s="43" t="s">
        <v>2315</v>
      </c>
    </row>
    <row r="35" spans="1:4">
      <c r="C35" s="33">
        <v>9963</v>
      </c>
      <c r="D35" s="43" t="s">
        <v>2316</v>
      </c>
    </row>
    <row r="36" spans="1:4">
      <c r="A36" s="20">
        <v>45325</v>
      </c>
      <c r="C36" s="33">
        <v>30000</v>
      </c>
      <c r="D36" s="43" t="s">
        <v>2317</v>
      </c>
    </row>
    <row r="37" spans="1:4">
      <c r="C37" s="33">
        <v>65400</v>
      </c>
      <c r="D37" s="43" t="s">
        <v>2318</v>
      </c>
    </row>
    <row r="38" spans="1:4">
      <c r="C38" s="33">
        <v>3500</v>
      </c>
      <c r="D38" s="43" t="s">
        <v>2319</v>
      </c>
    </row>
    <row r="39" spans="1:4">
      <c r="A39" s="20">
        <v>45388</v>
      </c>
      <c r="C39" s="33">
        <v>750</v>
      </c>
      <c r="D39" s="43" t="s">
        <v>2320</v>
      </c>
    </row>
    <row r="40" spans="1:4">
      <c r="A40" s="20">
        <v>45389</v>
      </c>
      <c r="C40" s="33">
        <v>12500</v>
      </c>
      <c r="D40" s="43" t="s">
        <v>2321</v>
      </c>
    </row>
    <row r="41" spans="1:4">
      <c r="B41" s="24">
        <v>15000</v>
      </c>
      <c r="C41" s="33">
        <v>900</v>
      </c>
      <c r="D41" s="43" t="s">
        <v>2322</v>
      </c>
    </row>
    <row r="42" spans="1:4">
      <c r="B42" s="24">
        <v>54550</v>
      </c>
      <c r="C42" s="33">
        <v>3273</v>
      </c>
      <c r="D42" s="43" t="s">
        <v>2323</v>
      </c>
    </row>
    <row r="43" spans="1:4">
      <c r="A43" s="20">
        <v>45330</v>
      </c>
      <c r="B43" s="24">
        <v>2000</v>
      </c>
      <c r="D43" s="43" t="s">
        <v>2324</v>
      </c>
    </row>
    <row r="44" spans="1:4">
      <c r="A44" s="20">
        <v>45331</v>
      </c>
      <c r="B44" s="24">
        <v>21900</v>
      </c>
      <c r="C44" s="33">
        <v>1314</v>
      </c>
      <c r="D44" s="104" t="s">
        <v>2325</v>
      </c>
    </row>
    <row r="45" spans="1:4">
      <c r="B45" s="24">
        <v>26180</v>
      </c>
      <c r="C45" s="33">
        <v>1571</v>
      </c>
      <c r="D45" s="104"/>
    </row>
    <row r="46" spans="1:4">
      <c r="B46" s="24">
        <v>40570</v>
      </c>
      <c r="C46" s="33">
        <v>2435</v>
      </c>
      <c r="D46" s="104"/>
    </row>
    <row r="47" spans="1:4">
      <c r="B47" s="24">
        <v>5500</v>
      </c>
      <c r="C47" s="33">
        <v>330</v>
      </c>
      <c r="D47" s="43" t="s">
        <v>2326</v>
      </c>
    </row>
    <row r="48" spans="1:4">
      <c r="B48" s="24">
        <v>129999.6</v>
      </c>
      <c r="C48" s="33">
        <v>7800</v>
      </c>
      <c r="D48" s="43" t="s">
        <v>2327</v>
      </c>
    </row>
    <row r="49" spans="1:4">
      <c r="A49" s="20">
        <v>45335</v>
      </c>
      <c r="B49" s="24">
        <v>5000</v>
      </c>
      <c r="C49" s="33">
        <v>300</v>
      </c>
      <c r="D49" s="43" t="s">
        <v>2328</v>
      </c>
    </row>
    <row r="50" spans="1:4">
      <c r="B50" s="24">
        <v>1349998</v>
      </c>
      <c r="C50" s="33">
        <v>81000</v>
      </c>
      <c r="D50" s="43" t="s">
        <v>2329</v>
      </c>
    </row>
    <row r="51" spans="1:4">
      <c r="A51" s="20">
        <v>45336</v>
      </c>
      <c r="C51" s="33">
        <v>9200</v>
      </c>
      <c r="D51" s="43" t="s">
        <v>2330</v>
      </c>
    </row>
    <row r="52" spans="1:4">
      <c r="C52" s="33">
        <v>9000</v>
      </c>
      <c r="D52" s="43" t="s">
        <v>2331</v>
      </c>
    </row>
    <row r="53" spans="1:4">
      <c r="A53" s="20">
        <v>45337</v>
      </c>
      <c r="C53" s="33">
        <v>4032</v>
      </c>
      <c r="D53" s="43" t="s">
        <v>2332</v>
      </c>
    </row>
    <row r="54" spans="1:4">
      <c r="A54" s="20">
        <v>45341</v>
      </c>
      <c r="B54" s="24">
        <v>15000</v>
      </c>
      <c r="D54" s="43" t="s">
        <v>2333</v>
      </c>
    </row>
    <row r="55" spans="1:4">
      <c r="C55" s="33">
        <v>3500</v>
      </c>
      <c r="D55" s="43" t="s">
        <v>2334</v>
      </c>
    </row>
    <row r="56" spans="1:4">
      <c r="C56" s="33">
        <v>100000</v>
      </c>
      <c r="D56" s="43" t="s">
        <v>2335</v>
      </c>
    </row>
    <row r="57" spans="1:4">
      <c r="A57" s="20">
        <v>45342</v>
      </c>
      <c r="C57" s="33">
        <v>2700</v>
      </c>
      <c r="D57" s="43" t="s">
        <v>2336</v>
      </c>
    </row>
    <row r="58" spans="1:4">
      <c r="C58" s="33">
        <v>1500</v>
      </c>
      <c r="D58" s="43" t="s">
        <v>89</v>
      </c>
    </row>
    <row r="59" spans="1:4">
      <c r="A59" s="20">
        <v>45312</v>
      </c>
      <c r="B59" s="24">
        <v>41000</v>
      </c>
      <c r="C59" s="33">
        <v>2460</v>
      </c>
      <c r="D59" s="104" t="s">
        <v>2337</v>
      </c>
    </row>
    <row r="60" spans="1:4">
      <c r="B60" s="24">
        <v>49600</v>
      </c>
      <c r="C60" s="33">
        <v>2976</v>
      </c>
      <c r="D60" s="104"/>
    </row>
    <row r="61" spans="1:4">
      <c r="C61" s="33">
        <v>3000</v>
      </c>
      <c r="D61" s="43" t="s">
        <v>2338</v>
      </c>
    </row>
    <row r="62" spans="1:4">
      <c r="A62" s="20">
        <v>45345</v>
      </c>
      <c r="B62" s="24">
        <v>70000</v>
      </c>
      <c r="D62" s="43" t="s">
        <v>2339</v>
      </c>
    </row>
    <row r="63" spans="1:4">
      <c r="A63" s="20">
        <v>45348</v>
      </c>
      <c r="C63" s="33">
        <v>540000</v>
      </c>
      <c r="D63" s="43" t="s">
        <v>2340</v>
      </c>
    </row>
    <row r="64" spans="1:4">
      <c r="C64" s="33">
        <v>45000</v>
      </c>
      <c r="D64" s="43" t="s">
        <v>2341</v>
      </c>
    </row>
    <row r="65" spans="1:4">
      <c r="C65" s="33">
        <v>172160</v>
      </c>
      <c r="D65" s="43" t="s">
        <v>2342</v>
      </c>
    </row>
    <row r="66" spans="1:4">
      <c r="C66" s="33">
        <v>2799</v>
      </c>
      <c r="D66" s="43" t="s">
        <v>2343</v>
      </c>
    </row>
    <row r="67" spans="1:4">
      <c r="A67" s="20">
        <v>45350</v>
      </c>
      <c r="C67" s="33">
        <v>27690</v>
      </c>
      <c r="D67" s="43" t="s">
        <v>2344</v>
      </c>
    </row>
    <row r="68" spans="1:4">
      <c r="B68" s="24">
        <v>104300</v>
      </c>
      <c r="C68" s="33">
        <v>6258</v>
      </c>
      <c r="D68" s="43" t="s">
        <v>2345</v>
      </c>
    </row>
    <row r="69" spans="1:4">
      <c r="A69" s="20">
        <v>45352</v>
      </c>
      <c r="C69" s="33">
        <v>10840</v>
      </c>
      <c r="D69" s="43" t="s">
        <v>2346</v>
      </c>
    </row>
    <row r="70" spans="1:4">
      <c r="C70" s="33">
        <v>72715</v>
      </c>
      <c r="D70" s="43" t="s">
        <v>2347</v>
      </c>
    </row>
    <row r="71" spans="1:4">
      <c r="C71" s="33">
        <v>108690</v>
      </c>
      <c r="D71" s="43" t="s">
        <v>2348</v>
      </c>
    </row>
    <row r="72" spans="1:4">
      <c r="C72" s="33">
        <v>1500</v>
      </c>
      <c r="D72" s="43" t="s">
        <v>2349</v>
      </c>
    </row>
    <row r="73" spans="1:4">
      <c r="C73" s="33">
        <v>12750</v>
      </c>
      <c r="D73" s="43" t="s">
        <v>2350</v>
      </c>
    </row>
    <row r="74" spans="1:4">
      <c r="C74" s="33">
        <v>1750</v>
      </c>
      <c r="D74" s="43" t="s">
        <v>2351</v>
      </c>
    </row>
    <row r="75" spans="1:4">
      <c r="C75" s="33">
        <v>12649</v>
      </c>
      <c r="D75" s="43" t="s">
        <v>1046</v>
      </c>
    </row>
    <row r="76" spans="1:4">
      <c r="B76" s="24">
        <v>50000</v>
      </c>
      <c r="D76" s="43" t="s">
        <v>2352</v>
      </c>
    </row>
    <row r="77" spans="1:4">
      <c r="A77" s="20">
        <v>45355</v>
      </c>
      <c r="C77" s="33">
        <v>47540</v>
      </c>
      <c r="D77" s="43" t="s">
        <v>2353</v>
      </c>
    </row>
    <row r="78" spans="1:4">
      <c r="A78" s="20">
        <v>45356</v>
      </c>
      <c r="B78" s="24">
        <v>48400</v>
      </c>
      <c r="C78" s="33">
        <v>2904</v>
      </c>
      <c r="D78" s="43" t="s">
        <v>2323</v>
      </c>
    </row>
    <row r="79" spans="1:4">
      <c r="B79" s="24">
        <v>104300</v>
      </c>
      <c r="C79" s="33">
        <v>6258</v>
      </c>
      <c r="D79" s="43" t="s">
        <v>2354</v>
      </c>
    </row>
    <row r="80" spans="1:4">
      <c r="C80" s="33">
        <v>8400</v>
      </c>
      <c r="D80" s="43" t="s">
        <v>2355</v>
      </c>
    </row>
    <row r="81" spans="1:4">
      <c r="A81" s="20">
        <v>45357</v>
      </c>
      <c r="C81" s="33">
        <v>6377</v>
      </c>
      <c r="D81" s="43" t="s">
        <v>2356</v>
      </c>
    </row>
    <row r="82" spans="1:4">
      <c r="B82" s="24">
        <v>66000</v>
      </c>
      <c r="C82" s="33">
        <v>3960</v>
      </c>
      <c r="D82" s="43" t="s">
        <v>2357</v>
      </c>
    </row>
    <row r="83" spans="1:4">
      <c r="B83" s="24">
        <v>10000</v>
      </c>
      <c r="D83" s="43" t="s">
        <v>2358</v>
      </c>
    </row>
    <row r="84" spans="1:4">
      <c r="A84" s="20">
        <v>45363</v>
      </c>
      <c r="C84" s="33">
        <v>2000</v>
      </c>
      <c r="D84" s="43" t="s">
        <v>2359</v>
      </c>
    </row>
    <row r="85" spans="1:4">
      <c r="C85" s="33">
        <v>1000</v>
      </c>
      <c r="D85" s="43" t="s">
        <v>2359</v>
      </c>
    </row>
    <row r="86" spans="1:4">
      <c r="C86" s="33">
        <v>1800</v>
      </c>
      <c r="D86" s="43" t="s">
        <v>2360</v>
      </c>
    </row>
    <row r="87" spans="1:4">
      <c r="C87" s="33">
        <v>1832</v>
      </c>
      <c r="D87" s="43" t="s">
        <v>2361</v>
      </c>
    </row>
    <row r="88" spans="1:4">
      <c r="C88" s="33">
        <v>6200</v>
      </c>
      <c r="D88" s="43" t="s">
        <v>2362</v>
      </c>
    </row>
    <row r="89" spans="1:4">
      <c r="C89" s="33">
        <v>5554</v>
      </c>
      <c r="D89" s="43" t="s">
        <v>2363</v>
      </c>
    </row>
    <row r="90" spans="1:4">
      <c r="C90" s="33">
        <v>8395</v>
      </c>
      <c r="D90" s="43" t="s">
        <v>2364</v>
      </c>
    </row>
    <row r="91" spans="1:4">
      <c r="C91" s="33">
        <v>14000</v>
      </c>
      <c r="D91" s="43" t="s">
        <v>2365</v>
      </c>
    </row>
    <row r="92" spans="1:4">
      <c r="A92" s="20">
        <v>45364</v>
      </c>
      <c r="C92" s="33">
        <v>249820</v>
      </c>
      <c r="D92" s="43" t="s">
        <v>2366</v>
      </c>
    </row>
    <row r="93" spans="1:4">
      <c r="B93" s="24">
        <v>1000</v>
      </c>
      <c r="D93" s="43" t="s">
        <v>2367</v>
      </c>
    </row>
    <row r="94" spans="1:4">
      <c r="A94" s="20">
        <v>45396</v>
      </c>
      <c r="B94" s="24">
        <v>25000</v>
      </c>
      <c r="D94" s="43" t="s">
        <v>2368</v>
      </c>
    </row>
    <row r="95" spans="1:4">
      <c r="C95" s="33">
        <v>2150</v>
      </c>
      <c r="D95" s="43" t="s">
        <v>2369</v>
      </c>
    </row>
    <row r="96" spans="1:4">
      <c r="C96" s="33">
        <v>8800</v>
      </c>
      <c r="D96" s="43" t="s">
        <v>2370</v>
      </c>
    </row>
    <row r="97" spans="1:4">
      <c r="C97" s="33">
        <v>801</v>
      </c>
      <c r="D97" s="43" t="s">
        <v>2371</v>
      </c>
    </row>
    <row r="98" spans="1:4">
      <c r="C98" s="33">
        <v>778</v>
      </c>
      <c r="D98" s="43" t="s">
        <v>2372</v>
      </c>
    </row>
    <row r="99" spans="1:4">
      <c r="A99" s="20">
        <v>45366</v>
      </c>
      <c r="C99" s="33">
        <v>7870</v>
      </c>
      <c r="D99" s="43" t="s">
        <v>2373</v>
      </c>
    </row>
    <row r="100" spans="1:4">
      <c r="C100" s="33">
        <v>250</v>
      </c>
      <c r="D100" s="43" t="s">
        <v>2374</v>
      </c>
    </row>
    <row r="101" spans="1:4">
      <c r="A101" s="20">
        <v>45367</v>
      </c>
      <c r="C101" s="33">
        <v>750</v>
      </c>
      <c r="D101" s="43" t="s">
        <v>2375</v>
      </c>
    </row>
    <row r="102" spans="1:4">
      <c r="A102" s="20">
        <v>45369</v>
      </c>
      <c r="C102" s="33">
        <v>1700</v>
      </c>
      <c r="D102" s="43" t="s">
        <v>2376</v>
      </c>
    </row>
    <row r="103" spans="1:4">
      <c r="A103" s="20">
        <v>45371</v>
      </c>
      <c r="C103" s="33">
        <v>5400</v>
      </c>
      <c r="D103" s="43" t="s">
        <v>2377</v>
      </c>
    </row>
    <row r="104" spans="1:4">
      <c r="C104" s="33">
        <v>2537</v>
      </c>
      <c r="D104" s="43" t="s">
        <v>2378</v>
      </c>
    </row>
    <row r="105" spans="1:4">
      <c r="C105" s="33">
        <v>563</v>
      </c>
      <c r="D105" s="43" t="s">
        <v>2378</v>
      </c>
    </row>
    <row r="106" spans="1:4">
      <c r="C106" s="33">
        <v>1460</v>
      </c>
      <c r="D106" s="43" t="s">
        <v>2379</v>
      </c>
    </row>
    <row r="107" spans="1:4">
      <c r="C107" s="33">
        <v>531</v>
      </c>
      <c r="D107" s="43" t="s">
        <v>2380</v>
      </c>
    </row>
    <row r="108" spans="1:4">
      <c r="A108" s="20">
        <v>45372</v>
      </c>
      <c r="C108" s="33">
        <v>370</v>
      </c>
      <c r="D108" s="43" t="s">
        <v>922</v>
      </c>
    </row>
    <row r="109" spans="1:4">
      <c r="C109" s="33">
        <v>5212</v>
      </c>
      <c r="D109" s="43" t="s">
        <v>2381</v>
      </c>
    </row>
    <row r="110" spans="1:4">
      <c r="A110" s="20">
        <v>45376</v>
      </c>
      <c r="C110" s="33">
        <v>15000</v>
      </c>
      <c r="D110" s="43" t="s">
        <v>2385</v>
      </c>
    </row>
    <row r="111" spans="1:4">
      <c r="C111" s="33">
        <v>8000</v>
      </c>
      <c r="D111" s="43" t="s">
        <v>2386</v>
      </c>
    </row>
    <row r="112" spans="1:4">
      <c r="A112" s="20">
        <v>45385</v>
      </c>
      <c r="C112" s="33">
        <v>2800</v>
      </c>
      <c r="D112" s="43" t="s">
        <v>2382</v>
      </c>
    </row>
    <row r="113" spans="1:4">
      <c r="C113" s="33">
        <v>38200</v>
      </c>
      <c r="D113" s="43" t="s">
        <v>1718</v>
      </c>
    </row>
    <row r="114" spans="1:4">
      <c r="C114" s="33">
        <v>4717</v>
      </c>
      <c r="D114" s="43" t="s">
        <v>1554</v>
      </c>
    </row>
    <row r="115" spans="1:4">
      <c r="A115" s="20">
        <v>45386</v>
      </c>
      <c r="C115" s="33">
        <v>4000</v>
      </c>
      <c r="D115" s="43" t="s">
        <v>2383</v>
      </c>
    </row>
    <row r="116" spans="1:4">
      <c r="B116" s="24">
        <v>18000</v>
      </c>
      <c r="D116" s="43" t="s">
        <v>2384</v>
      </c>
    </row>
    <row r="117" spans="1:4">
      <c r="A117" s="20">
        <v>45387</v>
      </c>
      <c r="C117" s="33">
        <v>9350</v>
      </c>
      <c r="D117" s="43" t="s">
        <v>2387</v>
      </c>
    </row>
    <row r="118" spans="1:4">
      <c r="A118" s="20">
        <v>45388</v>
      </c>
      <c r="C118" s="33">
        <v>66000</v>
      </c>
      <c r="D118" s="43" t="s">
        <v>2388</v>
      </c>
    </row>
    <row r="119" spans="1:4">
      <c r="C119" s="33">
        <v>2249</v>
      </c>
      <c r="D119" s="43" t="s">
        <v>2389</v>
      </c>
    </row>
    <row r="120" spans="1:4">
      <c r="A120" s="20">
        <v>45390</v>
      </c>
      <c r="C120" s="33">
        <v>17000</v>
      </c>
      <c r="D120" s="43" t="s">
        <v>2390</v>
      </c>
    </row>
    <row r="121" spans="1:4">
      <c r="B121" s="24">
        <v>48000</v>
      </c>
      <c r="C121" s="33">
        <v>2880</v>
      </c>
      <c r="D121" s="43" t="s">
        <v>2391</v>
      </c>
    </row>
    <row r="122" spans="1:4">
      <c r="C122" s="33">
        <v>1700</v>
      </c>
      <c r="D122" s="43" t="s">
        <v>2392</v>
      </c>
    </row>
    <row r="123" spans="1:4">
      <c r="C123" s="33">
        <v>1089</v>
      </c>
      <c r="D123" s="43" t="s">
        <v>2393</v>
      </c>
    </row>
    <row r="124" spans="1:4">
      <c r="A124" s="20">
        <v>45391</v>
      </c>
      <c r="B124" s="24">
        <v>151500</v>
      </c>
      <c r="C124" s="33">
        <v>9090</v>
      </c>
      <c r="D124" s="43" t="s">
        <v>2394</v>
      </c>
    </row>
    <row r="125" spans="1:4">
      <c r="B125" s="24">
        <v>64460</v>
      </c>
      <c r="C125" s="33">
        <v>3868</v>
      </c>
      <c r="D125" s="43" t="s">
        <v>2395</v>
      </c>
    </row>
    <row r="126" spans="1:4">
      <c r="C126" s="33">
        <v>3000</v>
      </c>
      <c r="D126" s="43" t="s">
        <v>2396</v>
      </c>
    </row>
    <row r="127" spans="1:4">
      <c r="A127" s="20">
        <v>45393</v>
      </c>
      <c r="C127" s="33">
        <v>54900</v>
      </c>
      <c r="D127" s="43" t="s">
        <v>2397</v>
      </c>
    </row>
    <row r="128" spans="1:4">
      <c r="A128" s="20">
        <v>45394</v>
      </c>
      <c r="C128" s="33">
        <v>37680</v>
      </c>
      <c r="D128" s="43" t="s">
        <v>2398</v>
      </c>
    </row>
    <row r="129" spans="1:4">
      <c r="C129" s="33">
        <v>1254</v>
      </c>
      <c r="D129" s="43" t="s">
        <v>2399</v>
      </c>
    </row>
    <row r="130" spans="1:4">
      <c r="C130" s="33">
        <v>8800</v>
      </c>
      <c r="D130" s="43" t="s">
        <v>2400</v>
      </c>
    </row>
    <row r="131" spans="1:4">
      <c r="A131" s="20">
        <v>45397</v>
      </c>
      <c r="C131" s="33">
        <v>15000</v>
      </c>
      <c r="D131" s="43" t="s">
        <v>2401</v>
      </c>
    </row>
    <row r="132" spans="1:4">
      <c r="A132" s="20">
        <v>45398</v>
      </c>
      <c r="C132" s="33">
        <v>1290</v>
      </c>
      <c r="D132" s="43" t="s">
        <v>2402</v>
      </c>
    </row>
    <row r="133" spans="1:4">
      <c r="B133" s="24">
        <v>32000</v>
      </c>
      <c r="C133" s="33">
        <v>1920</v>
      </c>
      <c r="D133" s="43" t="s">
        <v>2403</v>
      </c>
    </row>
    <row r="134" spans="1:4">
      <c r="B134" s="24">
        <v>20000</v>
      </c>
      <c r="C134" s="33">
        <v>1200</v>
      </c>
      <c r="D134" s="43" t="s">
        <v>2404</v>
      </c>
    </row>
    <row r="135" spans="1:4">
      <c r="B135" s="24">
        <v>50000</v>
      </c>
      <c r="C135" s="33">
        <v>3000</v>
      </c>
      <c r="D135" s="43" t="s">
        <v>2405</v>
      </c>
    </row>
    <row r="136" spans="1:4">
      <c r="C136" s="33">
        <v>6750</v>
      </c>
      <c r="D136" s="43" t="s">
        <v>2406</v>
      </c>
    </row>
    <row r="137" spans="1:4">
      <c r="C137" s="33">
        <v>10000</v>
      </c>
      <c r="D137" s="43" t="s">
        <v>2407</v>
      </c>
    </row>
    <row r="138" spans="1:4">
      <c r="A138" s="20">
        <v>45400</v>
      </c>
      <c r="B138" s="24">
        <v>8000</v>
      </c>
      <c r="C138" s="33">
        <v>480</v>
      </c>
      <c r="D138" s="43" t="s">
        <v>2408</v>
      </c>
    </row>
    <row r="139" spans="1:4">
      <c r="C139" s="33">
        <v>1812</v>
      </c>
      <c r="D139" s="43" t="s">
        <v>2409</v>
      </c>
    </row>
    <row r="140" spans="1:4">
      <c r="C140" s="33">
        <v>15000</v>
      </c>
      <c r="D140" s="43" t="s">
        <v>2410</v>
      </c>
    </row>
    <row r="141" spans="1:4">
      <c r="A141" s="20">
        <v>45401</v>
      </c>
      <c r="C141" s="33">
        <v>988</v>
      </c>
      <c r="D141" s="43" t="s">
        <v>2411</v>
      </c>
    </row>
    <row r="142" spans="1:4">
      <c r="C142" s="33">
        <v>518</v>
      </c>
      <c r="D142" s="43" t="s">
        <v>2412</v>
      </c>
    </row>
    <row r="143" spans="1:4">
      <c r="A143" s="20">
        <v>45404</v>
      </c>
      <c r="C143" s="33">
        <v>16000</v>
      </c>
      <c r="D143" s="43" t="s">
        <v>2413</v>
      </c>
    </row>
    <row r="144" spans="1:4">
      <c r="C144" s="33">
        <v>11000</v>
      </c>
      <c r="D144" s="43" t="s">
        <v>2414</v>
      </c>
    </row>
    <row r="145" spans="1:4">
      <c r="B145" s="24">
        <v>900</v>
      </c>
      <c r="D145" s="43" t="s">
        <v>2415</v>
      </c>
    </row>
    <row r="146" spans="1:4">
      <c r="B146" s="24">
        <v>900</v>
      </c>
      <c r="D146" s="43" t="s">
        <v>2416</v>
      </c>
    </row>
    <row r="147" spans="1:4">
      <c r="B147" s="24">
        <v>50000</v>
      </c>
      <c r="C147" s="33">
        <v>3000</v>
      </c>
      <c r="D147" s="43" t="s">
        <v>2417</v>
      </c>
    </row>
    <row r="148" spans="1:4">
      <c r="A148" s="20">
        <v>45405</v>
      </c>
      <c r="C148" s="33">
        <v>8500</v>
      </c>
      <c r="D148" s="43" t="s">
        <v>2418</v>
      </c>
    </row>
    <row r="149" spans="1:4">
      <c r="A149" s="20">
        <v>46138</v>
      </c>
      <c r="C149" s="33">
        <v>12000</v>
      </c>
      <c r="D149" s="43" t="s">
        <v>1551</v>
      </c>
    </row>
    <row r="150" spans="1:4">
      <c r="C150" s="33">
        <v>1500</v>
      </c>
      <c r="D150" s="43" t="s">
        <v>2392</v>
      </c>
    </row>
    <row r="151" spans="1:4">
      <c r="C151" s="33">
        <v>1270</v>
      </c>
      <c r="D151" s="43" t="s">
        <v>2419</v>
      </c>
    </row>
    <row r="152" spans="1:4">
      <c r="A152" s="20">
        <v>45409</v>
      </c>
      <c r="B152" s="24">
        <v>468000</v>
      </c>
      <c r="C152" s="33">
        <v>28080</v>
      </c>
      <c r="D152" s="43" t="s">
        <v>2420</v>
      </c>
    </row>
    <row r="153" spans="1:4">
      <c r="C153" s="33">
        <v>407160</v>
      </c>
      <c r="D153" s="43" t="s">
        <v>1744</v>
      </c>
    </row>
    <row r="154" spans="1:4">
      <c r="B154" s="24">
        <v>20000</v>
      </c>
      <c r="C154" s="33">
        <v>1200</v>
      </c>
      <c r="D154" s="43" t="s">
        <v>2421</v>
      </c>
    </row>
    <row r="155" spans="1:4">
      <c r="C155" s="33">
        <v>600</v>
      </c>
      <c r="D155" s="43" t="s">
        <v>2422</v>
      </c>
    </row>
    <row r="156" spans="1:4">
      <c r="C156" s="33">
        <v>66000</v>
      </c>
      <c r="D156" s="43" t="s">
        <v>2423</v>
      </c>
    </row>
    <row r="157" spans="1:4">
      <c r="A157" s="20">
        <v>45416</v>
      </c>
      <c r="C157" s="33">
        <v>2600</v>
      </c>
      <c r="D157" s="43" t="s">
        <v>2424</v>
      </c>
    </row>
    <row r="158" spans="1:4">
      <c r="C158" s="33">
        <v>10970</v>
      </c>
      <c r="D158" s="43" t="s">
        <v>2425</v>
      </c>
    </row>
    <row r="159" spans="1:4">
      <c r="C159" s="33">
        <v>29000</v>
      </c>
      <c r="D159" s="43" t="s">
        <v>2426</v>
      </c>
    </row>
    <row r="160" spans="1:4">
      <c r="C160" s="33">
        <v>2500</v>
      </c>
      <c r="D160" s="43" t="s">
        <v>55</v>
      </c>
    </row>
    <row r="161" spans="1:4">
      <c r="A161" s="20">
        <v>45418</v>
      </c>
      <c r="C161" s="33">
        <v>28500</v>
      </c>
      <c r="D161" s="43" t="s">
        <v>2427</v>
      </c>
    </row>
    <row r="162" spans="1:4">
      <c r="A162" s="20">
        <v>45425</v>
      </c>
      <c r="C162" s="33">
        <v>2800</v>
      </c>
      <c r="D162" s="43" t="s">
        <v>2428</v>
      </c>
    </row>
    <row r="163" spans="1:4">
      <c r="C163" s="33">
        <v>560</v>
      </c>
      <c r="D163" s="43" t="s">
        <v>2429</v>
      </c>
    </row>
    <row r="164" spans="1:4">
      <c r="C164" s="33">
        <v>1200</v>
      </c>
      <c r="D164" s="43" t="s">
        <v>2430</v>
      </c>
    </row>
    <row r="165" spans="1:4">
      <c r="C165" s="33">
        <v>784</v>
      </c>
      <c r="D165" s="43" t="s">
        <v>2431</v>
      </c>
    </row>
    <row r="166" spans="1:4">
      <c r="C166" s="33">
        <v>3800</v>
      </c>
      <c r="D166" s="43" t="s">
        <v>2432</v>
      </c>
    </row>
    <row r="167" spans="1:4">
      <c r="C167" s="33">
        <v>4000</v>
      </c>
      <c r="D167" s="43" t="s">
        <v>2433</v>
      </c>
    </row>
    <row r="168" spans="1:4">
      <c r="C168" s="33">
        <v>872</v>
      </c>
      <c r="D168" s="43" t="s">
        <v>2434</v>
      </c>
    </row>
    <row r="169" spans="1:4">
      <c r="A169" s="20">
        <v>45426</v>
      </c>
      <c r="C169" s="33">
        <v>756</v>
      </c>
      <c r="D169" s="43" t="s">
        <v>2435</v>
      </c>
    </row>
    <row r="170" spans="1:4">
      <c r="C170" s="33">
        <v>1739</v>
      </c>
      <c r="D170" s="43" t="s">
        <v>2436</v>
      </c>
    </row>
    <row r="171" spans="1:4">
      <c r="C171" s="33">
        <v>2024</v>
      </c>
      <c r="D171" s="43" t="s">
        <v>2437</v>
      </c>
    </row>
    <row r="172" spans="1:4">
      <c r="A172" s="20">
        <v>45427</v>
      </c>
      <c r="C172" s="33">
        <v>12600</v>
      </c>
      <c r="D172" s="43" t="s">
        <v>2438</v>
      </c>
    </row>
    <row r="173" spans="1:4">
      <c r="C173" s="33">
        <v>842</v>
      </c>
      <c r="D173" s="43" t="s">
        <v>2439</v>
      </c>
    </row>
    <row r="174" spans="1:4">
      <c r="C174" s="33">
        <v>1880</v>
      </c>
      <c r="D174" s="43" t="s">
        <v>2440</v>
      </c>
    </row>
    <row r="175" spans="1:4">
      <c r="C175" s="33">
        <v>38200</v>
      </c>
      <c r="D175" s="43" t="s">
        <v>1718</v>
      </c>
    </row>
    <row r="176" spans="1:4">
      <c r="C176" s="33">
        <v>4960</v>
      </c>
      <c r="D176" s="43" t="s">
        <v>1554</v>
      </c>
    </row>
    <row r="177" spans="1:4">
      <c r="C177" s="33">
        <v>5075</v>
      </c>
      <c r="D177" s="43" t="s">
        <v>2441</v>
      </c>
    </row>
    <row r="178" spans="1:4">
      <c r="C178" s="33">
        <v>1500</v>
      </c>
      <c r="D178" s="43" t="s">
        <v>2445</v>
      </c>
    </row>
    <row r="179" spans="1:4">
      <c r="A179" s="20">
        <v>45428</v>
      </c>
      <c r="C179" s="33">
        <v>250</v>
      </c>
      <c r="D179" s="43" t="s">
        <v>2442</v>
      </c>
    </row>
    <row r="180" spans="1:4">
      <c r="B180" s="24">
        <v>200000</v>
      </c>
      <c r="C180" s="33">
        <v>12000</v>
      </c>
      <c r="D180" s="43" t="s">
        <v>2443</v>
      </c>
    </row>
    <row r="181" spans="1:4">
      <c r="B181" s="24">
        <v>9000</v>
      </c>
      <c r="D181" s="43" t="s">
        <v>2444</v>
      </c>
    </row>
    <row r="182" spans="1:4">
      <c r="C182" s="33">
        <v>4000</v>
      </c>
      <c r="D182" s="43" t="s">
        <v>2446</v>
      </c>
    </row>
    <row r="183" spans="1:4">
      <c r="A183" s="20">
        <v>45430</v>
      </c>
      <c r="C183" s="33">
        <v>67200</v>
      </c>
      <c r="D183" s="43" t="s">
        <v>2447</v>
      </c>
    </row>
    <row r="184" spans="1:4">
      <c r="A184" s="20">
        <v>45432</v>
      </c>
      <c r="C184" s="33">
        <v>15000</v>
      </c>
      <c r="D184" s="43" t="s">
        <v>2448</v>
      </c>
    </row>
    <row r="185" spans="1:4">
      <c r="A185" s="20">
        <v>45433</v>
      </c>
      <c r="B185" s="24">
        <v>15000</v>
      </c>
      <c r="D185" s="43" t="s">
        <v>2449</v>
      </c>
    </row>
    <row r="186" spans="1:4">
      <c r="C186" s="33">
        <v>29640</v>
      </c>
      <c r="D186" s="43" t="s">
        <v>2450</v>
      </c>
    </row>
    <row r="187" spans="1:4">
      <c r="B187" s="24">
        <v>6000</v>
      </c>
      <c r="D187" s="43" t="s">
        <v>2451</v>
      </c>
    </row>
    <row r="188" spans="1:4">
      <c r="C188" s="33">
        <v>1500</v>
      </c>
      <c r="D188" s="43" t="s">
        <v>2452</v>
      </c>
    </row>
    <row r="189" spans="1:4">
      <c r="C189" s="33">
        <v>34800</v>
      </c>
      <c r="D189" s="43" t="s">
        <v>2453</v>
      </c>
    </row>
    <row r="190" spans="1:4">
      <c r="A190" s="20">
        <v>45435</v>
      </c>
      <c r="B190" s="24">
        <v>77829.5</v>
      </c>
      <c r="C190" s="33">
        <v>4670</v>
      </c>
      <c r="D190" s="43" t="s">
        <v>2454</v>
      </c>
    </row>
    <row r="191" spans="1:4">
      <c r="B191" s="24">
        <v>50000</v>
      </c>
      <c r="C191" s="33">
        <v>3001</v>
      </c>
      <c r="D191" s="43" t="s">
        <v>2455</v>
      </c>
    </row>
    <row r="192" spans="1:4">
      <c r="B192" s="24">
        <v>129750</v>
      </c>
      <c r="C192" s="33">
        <v>7786</v>
      </c>
      <c r="D192" s="43" t="s">
        <v>2456</v>
      </c>
    </row>
    <row r="193" spans="1:4">
      <c r="B193" s="24">
        <v>30000</v>
      </c>
      <c r="C193" s="33">
        <v>1800</v>
      </c>
      <c r="D193" s="43" t="s">
        <v>2457</v>
      </c>
    </row>
    <row r="194" spans="1:4">
      <c r="A194" s="20">
        <v>45436</v>
      </c>
      <c r="C194" s="33">
        <v>58000</v>
      </c>
      <c r="D194" s="43" t="s">
        <v>2458</v>
      </c>
    </row>
    <row r="195" spans="1:4">
      <c r="C195" s="33">
        <v>4200</v>
      </c>
      <c r="D195" s="43" t="s">
        <v>2459</v>
      </c>
    </row>
    <row r="196" spans="1:4">
      <c r="C196" s="33">
        <v>960</v>
      </c>
      <c r="D196" s="43" t="s">
        <v>2460</v>
      </c>
    </row>
    <row r="197" spans="1:4">
      <c r="C197" s="37">
        <v>3934</v>
      </c>
      <c r="D197" s="43" t="s">
        <v>2461</v>
      </c>
    </row>
    <row r="198" spans="1:4">
      <c r="A198" s="20">
        <v>45440</v>
      </c>
      <c r="C198" s="33">
        <v>15000</v>
      </c>
      <c r="D198" s="43" t="s">
        <v>2462</v>
      </c>
    </row>
    <row r="199" spans="1:4">
      <c r="C199" s="33">
        <v>750</v>
      </c>
      <c r="D199" s="43" t="s">
        <v>2463</v>
      </c>
    </row>
    <row r="200" spans="1:4">
      <c r="C200" s="33">
        <v>960</v>
      </c>
      <c r="D200" s="43" t="s">
        <v>2464</v>
      </c>
    </row>
    <row r="201" spans="1:4">
      <c r="C201" s="33">
        <v>7500</v>
      </c>
      <c r="D201" s="43" t="s">
        <v>385</v>
      </c>
    </row>
    <row r="202" spans="1:4">
      <c r="A202" s="20">
        <v>45441</v>
      </c>
      <c r="C202" s="33">
        <v>13900</v>
      </c>
      <c r="D202" s="43" t="s">
        <v>2465</v>
      </c>
    </row>
    <row r="203" spans="1:4">
      <c r="C203" s="33">
        <v>5000</v>
      </c>
      <c r="D203" s="43" t="s">
        <v>2466</v>
      </c>
    </row>
    <row r="204" spans="1:4">
      <c r="C204" s="33">
        <v>2500</v>
      </c>
      <c r="D204" s="43" t="s">
        <v>2467</v>
      </c>
    </row>
    <row r="205" spans="1:4">
      <c r="C205" s="33">
        <v>2500</v>
      </c>
      <c r="D205" s="43" t="s">
        <v>2468</v>
      </c>
    </row>
    <row r="206" spans="1:4">
      <c r="C206" s="33">
        <v>1500</v>
      </c>
      <c r="D206" s="43" t="s">
        <v>1551</v>
      </c>
    </row>
    <row r="207" spans="1:4">
      <c r="B207" s="24">
        <v>330000</v>
      </c>
      <c r="D207" s="43" t="s">
        <v>2469</v>
      </c>
    </row>
    <row r="208" spans="1:4">
      <c r="C208" s="33">
        <v>2200</v>
      </c>
      <c r="D208" s="43" t="s">
        <v>2470</v>
      </c>
    </row>
    <row r="209" spans="1:4">
      <c r="B209" s="24">
        <v>206790</v>
      </c>
      <c r="C209" s="33">
        <v>12408</v>
      </c>
      <c r="D209" s="43" t="s">
        <v>2471</v>
      </c>
    </row>
    <row r="210" spans="1:4">
      <c r="B210" s="24">
        <v>28250</v>
      </c>
      <c r="C210" s="33">
        <v>1695</v>
      </c>
      <c r="D210" s="43" t="s">
        <v>2472</v>
      </c>
    </row>
    <row r="211" spans="1:4">
      <c r="A211" s="20">
        <v>45442</v>
      </c>
      <c r="B211" s="24">
        <v>28000</v>
      </c>
      <c r="D211" s="43" t="s">
        <v>2473</v>
      </c>
    </row>
    <row r="212" spans="1:4">
      <c r="C212" s="33">
        <v>25000</v>
      </c>
      <c r="D212" s="43" t="s">
        <v>2474</v>
      </c>
    </row>
    <row r="213" spans="1:4">
      <c r="C213" s="33">
        <v>16010</v>
      </c>
      <c r="D213" s="43" t="s">
        <v>1932</v>
      </c>
    </row>
    <row r="214" spans="1:4">
      <c r="A214" s="20">
        <v>45443</v>
      </c>
      <c r="C214" s="33">
        <v>2670</v>
      </c>
      <c r="D214" s="43" t="s">
        <v>2475</v>
      </c>
    </row>
    <row r="215" spans="1:4">
      <c r="B215" s="24">
        <v>45000</v>
      </c>
      <c r="C215" s="33">
        <v>2700</v>
      </c>
      <c r="D215" s="43" t="s">
        <v>2476</v>
      </c>
    </row>
    <row r="216" spans="1:4">
      <c r="C216" s="33">
        <v>1175</v>
      </c>
      <c r="D216" s="43" t="s">
        <v>629</v>
      </c>
    </row>
    <row r="217" spans="1:4">
      <c r="A217" s="20">
        <v>45446</v>
      </c>
      <c r="C217" s="33">
        <v>4579</v>
      </c>
      <c r="D217" s="43" t="s">
        <v>2477</v>
      </c>
    </row>
    <row r="218" spans="1:4">
      <c r="C218" s="33">
        <v>32800</v>
      </c>
      <c r="D218" s="43" t="s">
        <v>1718</v>
      </c>
    </row>
    <row r="219" spans="1:4">
      <c r="C219" s="33">
        <v>3000</v>
      </c>
      <c r="D219" s="43" t="s">
        <v>2478</v>
      </c>
    </row>
    <row r="220" spans="1:4">
      <c r="A220" s="20">
        <v>45448</v>
      </c>
      <c r="B220" s="24">
        <v>7000</v>
      </c>
      <c r="D220" s="43" t="s">
        <v>2479</v>
      </c>
    </row>
    <row r="221" spans="1:4">
      <c r="B221" s="24">
        <v>10000</v>
      </c>
      <c r="C221" s="33">
        <v>700</v>
      </c>
      <c r="D221" s="43" t="s">
        <v>2480</v>
      </c>
    </row>
    <row r="222" spans="1:4">
      <c r="B222" s="24">
        <v>15000</v>
      </c>
      <c r="D222" s="43" t="s">
        <v>2481</v>
      </c>
    </row>
    <row r="223" spans="1:4">
      <c r="C223" s="33">
        <v>2900</v>
      </c>
      <c r="D223" s="43" t="s">
        <v>629</v>
      </c>
    </row>
    <row r="224" spans="1:4">
      <c r="C224" s="33">
        <v>10297</v>
      </c>
      <c r="D224" s="43" t="s">
        <v>1580</v>
      </c>
    </row>
    <row r="225" spans="1:4">
      <c r="C225" s="33">
        <v>1046</v>
      </c>
      <c r="D225" s="43" t="s">
        <v>2482</v>
      </c>
    </row>
    <row r="226" spans="1:4">
      <c r="C226" s="33">
        <v>1592</v>
      </c>
      <c r="D226" s="43" t="s">
        <v>2483</v>
      </c>
    </row>
    <row r="227" spans="1:4">
      <c r="A227" s="20">
        <v>45452</v>
      </c>
      <c r="C227" s="33">
        <v>50000</v>
      </c>
      <c r="D227" s="43" t="s">
        <v>2484</v>
      </c>
    </row>
    <row r="228" spans="1:4">
      <c r="C228" s="33">
        <v>90000</v>
      </c>
      <c r="D228" s="43" t="s">
        <v>2485</v>
      </c>
    </row>
    <row r="229" spans="1:4">
      <c r="A229" s="20">
        <v>45453</v>
      </c>
      <c r="C229" s="33">
        <v>10710</v>
      </c>
      <c r="D229" s="43" t="s">
        <v>2447</v>
      </c>
    </row>
    <row r="230" spans="1:4">
      <c r="B230" s="24">
        <v>17500</v>
      </c>
      <c r="C230" s="33">
        <v>1050</v>
      </c>
      <c r="D230" s="43" t="s">
        <v>2486</v>
      </c>
    </row>
    <row r="231" spans="1:4">
      <c r="B231" s="24">
        <v>13200</v>
      </c>
      <c r="C231" s="33">
        <v>792</v>
      </c>
      <c r="D231" s="43" t="s">
        <v>2487</v>
      </c>
    </row>
    <row r="232" spans="1:4">
      <c r="A232" s="20">
        <v>45454</v>
      </c>
      <c r="C232" s="33">
        <v>11660</v>
      </c>
      <c r="D232" s="43" t="s">
        <v>2488</v>
      </c>
    </row>
    <row r="233" spans="1:4">
      <c r="A233" s="20">
        <v>45456</v>
      </c>
      <c r="C233" s="33">
        <v>65000</v>
      </c>
      <c r="D233" s="43" t="s">
        <v>2489</v>
      </c>
    </row>
    <row r="234" spans="1:4">
      <c r="B234" s="24">
        <v>30000</v>
      </c>
      <c r="D234" s="43" t="s">
        <v>2490</v>
      </c>
    </row>
    <row r="235" spans="1:4">
      <c r="A235" s="20">
        <v>45457</v>
      </c>
      <c r="C235" s="33">
        <v>15000</v>
      </c>
      <c r="D235" s="43" t="s">
        <v>2491</v>
      </c>
    </row>
    <row r="236" spans="1:4">
      <c r="C236" s="33">
        <v>698</v>
      </c>
      <c r="D236" s="43" t="s">
        <v>2411</v>
      </c>
    </row>
    <row r="237" spans="1:4">
      <c r="A237" s="20">
        <v>45460</v>
      </c>
      <c r="C237" s="33">
        <v>14980</v>
      </c>
      <c r="D237" s="43" t="s">
        <v>2492</v>
      </c>
    </row>
    <row r="238" spans="1:4">
      <c r="C238" s="33">
        <v>1192</v>
      </c>
      <c r="D238" s="43" t="s">
        <v>2493</v>
      </c>
    </row>
    <row r="239" spans="1:4">
      <c r="B239" s="24">
        <v>16000</v>
      </c>
      <c r="C239" s="33">
        <v>960</v>
      </c>
      <c r="D239" s="43" t="s">
        <v>2517</v>
      </c>
    </row>
    <row r="240" spans="1:4">
      <c r="A240" s="20">
        <v>45461</v>
      </c>
      <c r="C240" s="33">
        <v>11700</v>
      </c>
      <c r="D240" s="43" t="s">
        <v>2494</v>
      </c>
    </row>
    <row r="241" spans="1:4">
      <c r="A241" s="20">
        <v>45462</v>
      </c>
      <c r="C241" s="33">
        <v>2707</v>
      </c>
      <c r="D241" s="43" t="s">
        <v>2495</v>
      </c>
    </row>
    <row r="242" spans="1:4">
      <c r="B242" s="24">
        <v>525000</v>
      </c>
      <c r="D242" s="43" t="s">
        <v>2496</v>
      </c>
    </row>
    <row r="243" spans="1:4">
      <c r="C243" s="33">
        <v>3200</v>
      </c>
      <c r="D243" s="43" t="s">
        <v>2497</v>
      </c>
    </row>
    <row r="244" spans="1:4">
      <c r="C244" s="35">
        <v>23040</v>
      </c>
      <c r="D244" s="43" t="s">
        <v>2498</v>
      </c>
    </row>
    <row r="245" spans="1:4">
      <c r="B245" s="24">
        <v>48400</v>
      </c>
      <c r="C245" s="33">
        <v>2904</v>
      </c>
      <c r="D245" s="43" t="s">
        <v>2499</v>
      </c>
    </row>
    <row r="246" spans="1:4">
      <c r="B246" s="24">
        <v>17000</v>
      </c>
      <c r="C246" s="33">
        <v>1020</v>
      </c>
      <c r="D246" s="43" t="s">
        <v>2500</v>
      </c>
    </row>
    <row r="247" spans="1:4">
      <c r="C247" s="33">
        <v>4872</v>
      </c>
      <c r="D247" s="43" t="s">
        <v>2501</v>
      </c>
    </row>
    <row r="248" spans="1:4">
      <c r="C248" s="33">
        <v>2500</v>
      </c>
      <c r="D248" s="43" t="s">
        <v>2502</v>
      </c>
    </row>
    <row r="249" spans="1:4">
      <c r="C249" s="33">
        <v>14159</v>
      </c>
      <c r="D249" s="43" t="s">
        <v>2503</v>
      </c>
    </row>
    <row r="250" spans="1:4">
      <c r="A250" s="20">
        <v>45464</v>
      </c>
      <c r="C250" s="33">
        <v>7500</v>
      </c>
      <c r="D250" s="43" t="s">
        <v>2504</v>
      </c>
    </row>
    <row r="251" spans="1:4">
      <c r="C251" s="33">
        <v>2000</v>
      </c>
      <c r="D251" s="43" t="s">
        <v>2503</v>
      </c>
    </row>
    <row r="252" spans="1:4">
      <c r="C252" s="33">
        <v>969</v>
      </c>
      <c r="D252" s="43" t="s">
        <v>2431</v>
      </c>
    </row>
    <row r="253" spans="1:4">
      <c r="A253" s="20">
        <v>45469</v>
      </c>
      <c r="C253" s="33">
        <v>10240</v>
      </c>
      <c r="D253" s="43" t="s">
        <v>2505</v>
      </c>
    </row>
    <row r="254" spans="1:4">
      <c r="C254" s="33">
        <v>10000</v>
      </c>
      <c r="D254" s="43" t="s">
        <v>2506</v>
      </c>
    </row>
    <row r="255" spans="1:4">
      <c r="C255" s="33">
        <v>2000</v>
      </c>
      <c r="D255" s="43" t="s">
        <v>2507</v>
      </c>
    </row>
    <row r="256" spans="1:4">
      <c r="C256" s="33">
        <v>3000</v>
      </c>
      <c r="D256" s="43" t="s">
        <v>2508</v>
      </c>
    </row>
    <row r="257" spans="1:4">
      <c r="C257" s="35">
        <v>66735</v>
      </c>
      <c r="D257" s="43" t="s">
        <v>2509</v>
      </c>
    </row>
    <row r="258" spans="1:4">
      <c r="C258" s="35">
        <v>50000</v>
      </c>
      <c r="D258" s="43" t="s">
        <v>2510</v>
      </c>
    </row>
    <row r="259" spans="1:4">
      <c r="C259" s="33">
        <v>73500</v>
      </c>
      <c r="D259" s="43" t="s">
        <v>2511</v>
      </c>
    </row>
    <row r="260" spans="1:4">
      <c r="B260" s="24">
        <v>5000</v>
      </c>
      <c r="D260" s="43" t="s">
        <v>2512</v>
      </c>
    </row>
    <row r="261" spans="1:4">
      <c r="B261" s="24">
        <v>20000</v>
      </c>
      <c r="D261" s="43" t="s">
        <v>2513</v>
      </c>
    </row>
    <row r="262" spans="1:4">
      <c r="B262" s="24">
        <v>20000</v>
      </c>
      <c r="D262" s="43" t="s">
        <v>2514</v>
      </c>
    </row>
    <row r="263" spans="1:4">
      <c r="B263" s="24">
        <v>2000</v>
      </c>
      <c r="D263" s="43" t="s">
        <v>2515</v>
      </c>
    </row>
    <row r="264" spans="1:4">
      <c r="B264" s="24">
        <v>16000</v>
      </c>
      <c r="C264" s="33">
        <v>960</v>
      </c>
      <c r="D264" s="43" t="s">
        <v>2516</v>
      </c>
    </row>
    <row r="265" spans="1:4">
      <c r="A265" s="20">
        <v>45474</v>
      </c>
      <c r="C265" s="33">
        <v>25000</v>
      </c>
      <c r="D265" s="43" t="s">
        <v>2518</v>
      </c>
    </row>
    <row r="266" spans="1:4">
      <c r="B266" s="24">
        <v>80000</v>
      </c>
      <c r="D266" s="43" t="s">
        <v>2519</v>
      </c>
    </row>
    <row r="267" spans="1:4">
      <c r="A267" s="20">
        <v>45475</v>
      </c>
      <c r="B267" s="24">
        <v>17380</v>
      </c>
      <c r="C267" s="33">
        <v>1043</v>
      </c>
      <c r="D267" s="43" t="s">
        <v>2323</v>
      </c>
    </row>
    <row r="268" spans="1:4">
      <c r="B268" s="24">
        <v>175290</v>
      </c>
      <c r="C268" s="33">
        <v>10518</v>
      </c>
      <c r="D268" s="43" t="s">
        <v>2323</v>
      </c>
    </row>
    <row r="269" spans="1:4">
      <c r="B269" s="24">
        <v>31000</v>
      </c>
      <c r="D269" s="43" t="s">
        <v>2520</v>
      </c>
    </row>
    <row r="270" spans="1:4">
      <c r="A270" s="20">
        <v>45477</v>
      </c>
      <c r="C270" s="33">
        <v>18692</v>
      </c>
      <c r="D270" s="43" t="s">
        <v>2521</v>
      </c>
    </row>
    <row r="271" spans="1:4">
      <c r="B271" s="24">
        <v>25000</v>
      </c>
      <c r="D271" s="43" t="s">
        <v>2522</v>
      </c>
    </row>
    <row r="272" spans="1:4">
      <c r="C272" s="33">
        <v>3750</v>
      </c>
      <c r="D272" s="43" t="s">
        <v>2523</v>
      </c>
    </row>
    <row r="273" spans="1:4">
      <c r="B273" s="24">
        <v>11000</v>
      </c>
      <c r="C273" s="33">
        <v>770</v>
      </c>
      <c r="D273" s="43" t="s">
        <v>2524</v>
      </c>
    </row>
    <row r="274" spans="1:4">
      <c r="C274" s="33">
        <v>3395</v>
      </c>
      <c r="D274" s="43" t="s">
        <v>1719</v>
      </c>
    </row>
    <row r="275" spans="1:4">
      <c r="C275" s="33">
        <v>38200</v>
      </c>
      <c r="D275" s="43" t="s">
        <v>1718</v>
      </c>
    </row>
    <row r="276" spans="1:4">
      <c r="A276" s="20">
        <v>45481</v>
      </c>
      <c r="C276" s="33">
        <v>20000</v>
      </c>
      <c r="D276" s="43" t="s">
        <v>2525</v>
      </c>
    </row>
    <row r="277" spans="1:4">
      <c r="C277" s="33">
        <v>5000</v>
      </c>
      <c r="D277" s="43" t="s">
        <v>1282</v>
      </c>
    </row>
    <row r="278" spans="1:4">
      <c r="A278" s="20">
        <v>45482</v>
      </c>
      <c r="B278" s="24">
        <v>31000</v>
      </c>
      <c r="C278" s="33">
        <v>2800</v>
      </c>
      <c r="D278" s="43" t="s">
        <v>2526</v>
      </c>
    </row>
    <row r="279" spans="1:4">
      <c r="C279" s="33">
        <v>62504</v>
      </c>
      <c r="D279" s="43" t="s">
        <v>2527</v>
      </c>
    </row>
    <row r="280" spans="1:4">
      <c r="B280" s="24">
        <v>6000</v>
      </c>
      <c r="D280" s="43" t="s">
        <v>2528</v>
      </c>
    </row>
    <row r="281" spans="1:4">
      <c r="C281" s="33">
        <v>13000</v>
      </c>
      <c r="D281" s="43" t="s">
        <v>2529</v>
      </c>
    </row>
    <row r="282" spans="1:4">
      <c r="A282" s="20">
        <v>45484</v>
      </c>
      <c r="C282" s="33">
        <v>18830</v>
      </c>
      <c r="D282" s="43" t="s">
        <v>2530</v>
      </c>
    </row>
    <row r="283" spans="1:4">
      <c r="B283" s="24">
        <v>50000</v>
      </c>
      <c r="D283" s="43" t="s">
        <v>2531</v>
      </c>
    </row>
    <row r="284" spans="1:4">
      <c r="C284" s="33">
        <v>2850</v>
      </c>
      <c r="D284" s="43" t="s">
        <v>2530</v>
      </c>
    </row>
    <row r="285" spans="1:4">
      <c r="B285" s="24">
        <v>4000</v>
      </c>
      <c r="D285" s="43" t="s">
        <v>2532</v>
      </c>
    </row>
    <row r="286" spans="1:4">
      <c r="A286" s="20">
        <v>45485</v>
      </c>
      <c r="C286" s="33">
        <v>1500</v>
      </c>
      <c r="D286" s="43" t="s">
        <v>2533</v>
      </c>
    </row>
    <row r="287" spans="1:4">
      <c r="C287" s="33">
        <v>7090</v>
      </c>
      <c r="D287" s="43" t="s">
        <v>2534</v>
      </c>
    </row>
    <row r="288" spans="1:4">
      <c r="C288" s="33">
        <v>10386</v>
      </c>
      <c r="D288" s="43" t="s">
        <v>2535</v>
      </c>
    </row>
    <row r="289" spans="1:4">
      <c r="A289" s="20">
        <v>45486</v>
      </c>
      <c r="C289" s="33">
        <v>30000</v>
      </c>
      <c r="D289" s="43" t="s">
        <v>2536</v>
      </c>
    </row>
    <row r="290" spans="1:4">
      <c r="C290" s="33">
        <v>7000</v>
      </c>
      <c r="D290" s="43" t="s">
        <v>2537</v>
      </c>
    </row>
    <row r="291" spans="1:4">
      <c r="C291" s="33">
        <v>9800</v>
      </c>
      <c r="D291" s="43" t="s">
        <v>2538</v>
      </c>
    </row>
    <row r="292" spans="1:4">
      <c r="C292" s="33">
        <v>2303</v>
      </c>
      <c r="D292" s="43" t="s">
        <v>2539</v>
      </c>
    </row>
    <row r="293" spans="1:4">
      <c r="C293" s="33">
        <v>5222</v>
      </c>
      <c r="D293" s="43" t="s">
        <v>2540</v>
      </c>
    </row>
    <row r="294" spans="1:4">
      <c r="B294" s="24">
        <v>121800</v>
      </c>
      <c r="C294" s="33">
        <v>7308</v>
      </c>
      <c r="D294" s="104" t="s">
        <v>2196</v>
      </c>
    </row>
    <row r="295" spans="1:4">
      <c r="B295" s="24">
        <v>121800</v>
      </c>
      <c r="C295" s="33">
        <v>7308</v>
      </c>
      <c r="D295" s="104"/>
    </row>
    <row r="296" spans="1:4">
      <c r="B296" s="24">
        <v>121800</v>
      </c>
      <c r="C296" s="33">
        <v>7308</v>
      </c>
      <c r="D296" s="104"/>
    </row>
    <row r="297" spans="1:4">
      <c r="A297" s="20">
        <v>45488</v>
      </c>
      <c r="C297" s="33">
        <v>800</v>
      </c>
      <c r="D297" s="43" t="s">
        <v>2541</v>
      </c>
    </row>
    <row r="298" spans="1:4">
      <c r="C298" s="33">
        <v>12080</v>
      </c>
      <c r="D298" s="43" t="s">
        <v>2542</v>
      </c>
    </row>
    <row r="299" spans="1:4">
      <c r="A299" s="20">
        <v>45489</v>
      </c>
      <c r="C299" s="33">
        <v>1500</v>
      </c>
      <c r="D299" s="43" t="s">
        <v>2543</v>
      </c>
    </row>
    <row r="300" spans="1:4">
      <c r="A300" s="20">
        <v>45490</v>
      </c>
      <c r="C300" s="33">
        <v>5054</v>
      </c>
      <c r="D300" s="43" t="s">
        <v>2544</v>
      </c>
    </row>
    <row r="301" spans="1:4">
      <c r="A301" s="20">
        <v>45491</v>
      </c>
      <c r="C301" s="33">
        <v>12000</v>
      </c>
      <c r="D301" s="43" t="s">
        <v>2545</v>
      </c>
    </row>
    <row r="302" spans="1:4">
      <c r="B302" s="24">
        <v>170000</v>
      </c>
      <c r="D302" s="43" t="s">
        <v>2546</v>
      </c>
    </row>
    <row r="303" spans="1:4">
      <c r="C303" s="33">
        <v>18500</v>
      </c>
      <c r="D303" s="43" t="s">
        <v>2547</v>
      </c>
    </row>
    <row r="304" spans="1:4">
      <c r="C304" s="33">
        <v>1500</v>
      </c>
      <c r="D304" s="43" t="s">
        <v>2548</v>
      </c>
    </row>
    <row r="305" spans="1:4">
      <c r="C305" s="33">
        <v>15169</v>
      </c>
      <c r="D305" s="43" t="s">
        <v>2549</v>
      </c>
    </row>
    <row r="306" spans="1:4">
      <c r="C306" s="33">
        <v>2248</v>
      </c>
      <c r="D306" s="43" t="s">
        <v>2550</v>
      </c>
    </row>
    <row r="307" spans="1:4">
      <c r="C307" s="33">
        <v>2248</v>
      </c>
      <c r="D307" s="43" t="s">
        <v>2551</v>
      </c>
    </row>
    <row r="308" spans="1:4">
      <c r="A308" s="20">
        <v>45493</v>
      </c>
      <c r="C308" s="33">
        <v>9500</v>
      </c>
      <c r="D308" s="43" t="s">
        <v>2552</v>
      </c>
    </row>
    <row r="309" spans="1:4">
      <c r="C309" s="33">
        <v>16000</v>
      </c>
      <c r="D309" s="43" t="s">
        <v>2553</v>
      </c>
    </row>
    <row r="310" spans="1:4">
      <c r="C310" s="33">
        <v>24000</v>
      </c>
      <c r="D310" s="43" t="s">
        <v>2554</v>
      </c>
    </row>
    <row r="311" spans="1:4">
      <c r="A311" s="20">
        <v>45494</v>
      </c>
      <c r="C311" s="33">
        <v>9800</v>
      </c>
      <c r="D311" s="43" t="s">
        <v>2555</v>
      </c>
    </row>
    <row r="312" spans="1:4">
      <c r="C312" s="33">
        <v>317898</v>
      </c>
      <c r="D312" s="43" t="s">
        <v>1744</v>
      </c>
    </row>
    <row r="313" spans="1:4">
      <c r="C313" s="33">
        <v>65000</v>
      </c>
      <c r="D313" s="43" t="s">
        <v>2556</v>
      </c>
    </row>
    <row r="314" spans="1:4">
      <c r="C314" s="33">
        <v>2619</v>
      </c>
      <c r="D314" s="43" t="s">
        <v>2557</v>
      </c>
    </row>
    <row r="315" spans="1:4">
      <c r="A315" s="20">
        <v>45495</v>
      </c>
      <c r="C315" s="33">
        <v>2575</v>
      </c>
      <c r="D315" s="43" t="s">
        <v>2544</v>
      </c>
    </row>
    <row r="316" spans="1:4">
      <c r="A316" s="20">
        <v>45496</v>
      </c>
      <c r="C316" s="33">
        <v>1100</v>
      </c>
      <c r="D316" s="43" t="s">
        <v>2558</v>
      </c>
    </row>
    <row r="317" spans="1:4">
      <c r="C317" s="33">
        <v>2500</v>
      </c>
      <c r="D317" s="43" t="s">
        <v>2559</v>
      </c>
    </row>
    <row r="318" spans="1:4">
      <c r="A318" s="20">
        <v>45499</v>
      </c>
      <c r="C318" s="33">
        <v>8100</v>
      </c>
      <c r="D318" s="43" t="s">
        <v>2560</v>
      </c>
    </row>
    <row r="319" spans="1:4">
      <c r="C319" s="33">
        <v>1500</v>
      </c>
      <c r="D319" s="43" t="s">
        <v>2561</v>
      </c>
    </row>
    <row r="320" spans="1:4">
      <c r="C320" s="33">
        <v>4800</v>
      </c>
      <c r="D320" s="43" t="s">
        <v>2562</v>
      </c>
    </row>
    <row r="321" spans="1:5">
      <c r="C321" s="33">
        <v>63500</v>
      </c>
      <c r="D321" s="43" t="s">
        <v>2563</v>
      </c>
    </row>
    <row r="322" spans="1:5">
      <c r="C322" s="33">
        <v>350</v>
      </c>
      <c r="D322" s="104" t="s">
        <v>1282</v>
      </c>
    </row>
    <row r="323" spans="1:5">
      <c r="C323" s="33">
        <v>256</v>
      </c>
      <c r="D323" s="104"/>
    </row>
    <row r="324" spans="1:5">
      <c r="C324" s="33">
        <v>506</v>
      </c>
      <c r="D324" s="104"/>
    </row>
    <row r="325" spans="1:5">
      <c r="C325" s="33">
        <v>410</v>
      </c>
      <c r="D325" s="104"/>
    </row>
    <row r="326" spans="1:5">
      <c r="C326" s="33">
        <v>723</v>
      </c>
      <c r="D326" s="104"/>
    </row>
    <row r="327" spans="1:5">
      <c r="A327" s="20">
        <v>45501</v>
      </c>
      <c r="B327" s="24">
        <v>150000</v>
      </c>
      <c r="C327" s="33">
        <v>9000</v>
      </c>
      <c r="D327" s="43" t="s">
        <v>2566</v>
      </c>
    </row>
    <row r="328" spans="1:5">
      <c r="A328" s="20" t="s">
        <v>2564</v>
      </c>
      <c r="C328" s="33">
        <v>67670</v>
      </c>
      <c r="D328" s="43" t="s">
        <v>2565</v>
      </c>
    </row>
    <row r="329" spans="1:5">
      <c r="A329" s="20">
        <v>45871</v>
      </c>
      <c r="B329" s="24">
        <v>60000</v>
      </c>
      <c r="C329" s="33">
        <v>3600</v>
      </c>
      <c r="D329" s="43" t="s">
        <v>2567</v>
      </c>
    </row>
    <row r="330" spans="1:5">
      <c r="B330" s="24">
        <v>63000</v>
      </c>
      <c r="C330" s="33">
        <v>3780</v>
      </c>
      <c r="D330" s="43" t="s">
        <v>2568</v>
      </c>
    </row>
    <row r="331" spans="1:5">
      <c r="C331" s="33">
        <v>38200</v>
      </c>
      <c r="D331" s="43" t="s">
        <v>1718</v>
      </c>
    </row>
    <row r="332" spans="1:5">
      <c r="C332" s="33">
        <v>8816</v>
      </c>
      <c r="D332" s="43" t="s">
        <v>1554</v>
      </c>
    </row>
    <row r="333" spans="1:5">
      <c r="C333" s="33">
        <v>2250</v>
      </c>
      <c r="D333" s="43" t="s">
        <v>2569</v>
      </c>
    </row>
    <row r="334" spans="1:5">
      <c r="C334" s="33">
        <v>4500</v>
      </c>
      <c r="D334" s="43" t="s">
        <v>2570</v>
      </c>
    </row>
    <row r="335" spans="1:5">
      <c r="C335" s="33">
        <v>11500</v>
      </c>
      <c r="D335" s="43" t="s">
        <v>2571</v>
      </c>
    </row>
    <row r="336" spans="1:5">
      <c r="A336" s="20">
        <v>45510</v>
      </c>
      <c r="C336" s="33">
        <v>1800</v>
      </c>
      <c r="D336" s="43" t="s">
        <v>2572</v>
      </c>
      <c r="E336"/>
    </row>
    <row r="337" spans="1:4">
      <c r="C337" s="33">
        <v>10800</v>
      </c>
      <c r="D337" s="43" t="s">
        <v>2527</v>
      </c>
    </row>
    <row r="338" spans="1:4">
      <c r="C338" s="33">
        <v>65000</v>
      </c>
      <c r="D338" s="43" t="s">
        <v>2573</v>
      </c>
    </row>
    <row r="339" spans="1:4">
      <c r="A339" s="20">
        <v>45511</v>
      </c>
      <c r="C339" s="33">
        <v>456</v>
      </c>
      <c r="D339" s="43" t="s">
        <v>2574</v>
      </c>
    </row>
    <row r="340" spans="1:4">
      <c r="C340" s="33">
        <v>9639</v>
      </c>
      <c r="D340" s="43" t="s">
        <v>2575</v>
      </c>
    </row>
    <row r="341" spans="1:4">
      <c r="A341" s="20">
        <v>45512</v>
      </c>
      <c r="B341" s="24">
        <v>20000</v>
      </c>
      <c r="C341" s="33">
        <v>1200</v>
      </c>
      <c r="D341" s="43" t="s">
        <v>2576</v>
      </c>
    </row>
    <row r="342" spans="1:4">
      <c r="C342" s="33">
        <v>7660</v>
      </c>
      <c r="D342" s="43" t="s">
        <v>2577</v>
      </c>
    </row>
    <row r="343" spans="1:4">
      <c r="B343" s="24">
        <v>11788.16</v>
      </c>
      <c r="C343" s="33">
        <v>708</v>
      </c>
      <c r="D343" s="43" t="s">
        <v>2578</v>
      </c>
    </row>
    <row r="344" spans="1:4">
      <c r="C344" s="33">
        <v>5472</v>
      </c>
      <c r="D344" s="43" t="s">
        <v>2544</v>
      </c>
    </row>
    <row r="345" spans="1:4">
      <c r="A345" s="20">
        <v>45514</v>
      </c>
      <c r="B345" s="24">
        <v>10000</v>
      </c>
      <c r="D345" s="43" t="s">
        <v>2579</v>
      </c>
    </row>
    <row r="346" spans="1:4">
      <c r="C346" s="33">
        <v>561</v>
      </c>
      <c r="D346" s="43" t="s">
        <v>2580</v>
      </c>
    </row>
    <row r="347" spans="1:4">
      <c r="A347" s="20">
        <v>45516</v>
      </c>
      <c r="C347" s="33">
        <v>2000</v>
      </c>
      <c r="D347" s="43" t="s">
        <v>2581</v>
      </c>
    </row>
    <row r="348" spans="1:4">
      <c r="C348" s="33">
        <v>12000</v>
      </c>
      <c r="D348" s="43" t="s">
        <v>2582</v>
      </c>
    </row>
    <row r="349" spans="1:4">
      <c r="A349" s="20">
        <v>45517</v>
      </c>
      <c r="B349" s="24">
        <v>25000</v>
      </c>
      <c r="C349" s="33">
        <v>1500</v>
      </c>
      <c r="D349" s="43" t="s">
        <v>2583</v>
      </c>
    </row>
    <row r="350" spans="1:4">
      <c r="C350" s="33">
        <v>500</v>
      </c>
      <c r="D350" s="43" t="s">
        <v>2558</v>
      </c>
    </row>
    <row r="351" spans="1:4">
      <c r="C351" s="33">
        <v>384</v>
      </c>
      <c r="D351" s="43" t="s">
        <v>2584</v>
      </c>
    </row>
    <row r="352" spans="1:4">
      <c r="B352" s="24">
        <v>10000</v>
      </c>
      <c r="C352" s="33">
        <v>700</v>
      </c>
      <c r="D352" s="43" t="s">
        <v>2567</v>
      </c>
    </row>
    <row r="353" spans="1:4">
      <c r="A353" s="20">
        <v>45518</v>
      </c>
      <c r="B353" s="24">
        <v>5000</v>
      </c>
      <c r="D353" s="43" t="s">
        <v>2585</v>
      </c>
    </row>
    <row r="354" spans="1:4">
      <c r="C354" s="33">
        <v>10000</v>
      </c>
      <c r="D354" s="43" t="s">
        <v>2586</v>
      </c>
    </row>
    <row r="355" spans="1:4">
      <c r="C355" s="33">
        <v>1540</v>
      </c>
      <c r="D355" s="43" t="s">
        <v>2587</v>
      </c>
    </row>
    <row r="356" spans="1:4">
      <c r="A356" s="20">
        <v>45520</v>
      </c>
      <c r="B356" s="24">
        <v>25000</v>
      </c>
      <c r="C356" s="33">
        <v>1500</v>
      </c>
      <c r="D356" s="43" t="s">
        <v>2588</v>
      </c>
    </row>
    <row r="357" spans="1:4">
      <c r="B357" s="24">
        <v>25000</v>
      </c>
      <c r="C357" s="33">
        <v>1500</v>
      </c>
      <c r="D357" s="43" t="s">
        <v>2589</v>
      </c>
    </row>
    <row r="358" spans="1:4">
      <c r="C358" s="33">
        <v>2870</v>
      </c>
      <c r="D358" s="104" t="s">
        <v>2590</v>
      </c>
    </row>
    <row r="359" spans="1:4">
      <c r="C359" s="33">
        <v>2491</v>
      </c>
      <c r="D359" s="104"/>
    </row>
    <row r="360" spans="1:4">
      <c r="C360" s="33">
        <v>630</v>
      </c>
      <c r="D360" s="104"/>
    </row>
    <row r="361" spans="1:4">
      <c r="C361" s="33">
        <v>4991</v>
      </c>
      <c r="D361" s="104"/>
    </row>
    <row r="362" spans="1:4">
      <c r="C362" s="33">
        <v>632</v>
      </c>
      <c r="D362" s="104"/>
    </row>
    <row r="363" spans="1:4">
      <c r="C363" s="33">
        <v>581</v>
      </c>
      <c r="D363" s="104"/>
    </row>
    <row r="364" spans="1:4">
      <c r="C364" s="33">
        <v>3900</v>
      </c>
      <c r="D364" s="43" t="s">
        <v>2591</v>
      </c>
    </row>
    <row r="365" spans="1:4">
      <c r="A365" s="20">
        <v>45523</v>
      </c>
      <c r="B365" s="24">
        <v>20000</v>
      </c>
      <c r="D365" s="43" t="s">
        <v>2592</v>
      </c>
    </row>
    <row r="366" spans="1:4">
      <c r="B366" s="24">
        <v>196300</v>
      </c>
      <c r="C366" s="33">
        <v>11778</v>
      </c>
      <c r="D366" s="43" t="s">
        <v>2593</v>
      </c>
    </row>
    <row r="367" spans="1:4">
      <c r="A367" s="20">
        <v>45524</v>
      </c>
      <c r="C367" s="33">
        <v>660</v>
      </c>
      <c r="D367" s="43" t="s">
        <v>1883</v>
      </c>
    </row>
    <row r="368" spans="1:4">
      <c r="B368" s="24">
        <v>2390</v>
      </c>
      <c r="D368" s="43" t="s">
        <v>2594</v>
      </c>
    </row>
    <row r="369" spans="1:4">
      <c r="C369" s="33">
        <v>585</v>
      </c>
      <c r="D369" s="43" t="s">
        <v>2431</v>
      </c>
    </row>
    <row r="370" spans="1:4">
      <c r="B370" s="24">
        <v>20000</v>
      </c>
      <c r="C370" s="33">
        <v>1200</v>
      </c>
      <c r="D370" s="43" t="s">
        <v>2595</v>
      </c>
    </row>
    <row r="371" spans="1:4">
      <c r="A371" s="20">
        <v>45530</v>
      </c>
      <c r="C371" s="33">
        <v>16960</v>
      </c>
      <c r="D371" s="43" t="s">
        <v>2596</v>
      </c>
    </row>
    <row r="372" spans="1:4">
      <c r="C372" s="33">
        <v>350</v>
      </c>
      <c r="D372" s="104" t="s">
        <v>2590</v>
      </c>
    </row>
    <row r="373" spans="1:4">
      <c r="C373" s="33">
        <v>1218</v>
      </c>
      <c r="D373" s="104"/>
    </row>
    <row r="374" spans="1:4">
      <c r="C374" s="33">
        <v>1405</v>
      </c>
      <c r="D374" s="104"/>
    </row>
    <row r="375" spans="1:4">
      <c r="C375" s="33">
        <v>3039</v>
      </c>
      <c r="D375" s="104"/>
    </row>
    <row r="376" spans="1:4">
      <c r="A376" s="20">
        <v>45531</v>
      </c>
      <c r="C376" s="33">
        <v>1095</v>
      </c>
      <c r="D376" s="43" t="s">
        <v>2597</v>
      </c>
    </row>
    <row r="377" spans="1:4">
      <c r="C377" s="33">
        <v>1000</v>
      </c>
      <c r="D377" s="43" t="s">
        <v>763</v>
      </c>
    </row>
    <row r="378" spans="1:4">
      <c r="C378" s="33">
        <v>5000</v>
      </c>
      <c r="D378" s="43" t="s">
        <v>2598</v>
      </c>
    </row>
    <row r="379" spans="1:4">
      <c r="A379" s="20">
        <v>45506</v>
      </c>
      <c r="C379" s="33">
        <v>6800</v>
      </c>
      <c r="D379" s="43" t="s">
        <v>2599</v>
      </c>
    </row>
    <row r="380" spans="1:4">
      <c r="C380" s="33">
        <v>2954</v>
      </c>
      <c r="D380" s="43" t="s">
        <v>2600</v>
      </c>
    </row>
    <row r="381" spans="1:4">
      <c r="A381" s="20">
        <v>45541</v>
      </c>
      <c r="B381" s="24">
        <v>6000</v>
      </c>
      <c r="D381" s="43" t="s">
        <v>2601</v>
      </c>
    </row>
    <row r="382" spans="1:4">
      <c r="C382" s="33">
        <v>1000</v>
      </c>
      <c r="D382" s="43" t="s">
        <v>763</v>
      </c>
    </row>
    <row r="383" spans="1:4">
      <c r="C383" s="33">
        <v>4000</v>
      </c>
      <c r="D383" s="43" t="s">
        <v>2602</v>
      </c>
    </row>
    <row r="384" spans="1:4">
      <c r="C384" s="33">
        <v>4400</v>
      </c>
      <c r="D384" s="43" t="s">
        <v>2603</v>
      </c>
    </row>
    <row r="385" spans="1:4">
      <c r="C385" s="33">
        <v>66000</v>
      </c>
      <c r="D385" s="43" t="s">
        <v>2604</v>
      </c>
    </row>
    <row r="386" spans="1:4">
      <c r="A386" s="20">
        <v>45543</v>
      </c>
      <c r="C386" s="33">
        <v>3000</v>
      </c>
      <c r="D386" s="43" t="s">
        <v>2605</v>
      </c>
    </row>
    <row r="387" spans="1:4">
      <c r="C387" s="33">
        <v>1000</v>
      </c>
      <c r="D387" s="43" t="s">
        <v>284</v>
      </c>
    </row>
    <row r="388" spans="1:4">
      <c r="B388" s="24">
        <v>262000</v>
      </c>
      <c r="C388" s="33">
        <v>15720</v>
      </c>
      <c r="D388" s="43" t="s">
        <v>1744</v>
      </c>
    </row>
    <row r="389" spans="1:4">
      <c r="C389" s="33">
        <v>227940</v>
      </c>
      <c r="D389" s="43" t="s">
        <v>1744</v>
      </c>
    </row>
    <row r="390" spans="1:4">
      <c r="C390" s="33">
        <v>716</v>
      </c>
      <c r="D390" s="43" t="s">
        <v>2376</v>
      </c>
    </row>
    <row r="391" spans="1:4">
      <c r="C391" s="33">
        <v>642</v>
      </c>
      <c r="D391" s="43" t="s">
        <v>2606</v>
      </c>
    </row>
    <row r="392" spans="1:4">
      <c r="C392" s="33">
        <v>5375</v>
      </c>
      <c r="D392" s="43" t="s">
        <v>1554</v>
      </c>
    </row>
    <row r="393" spans="1:4">
      <c r="A393" s="20">
        <v>45545</v>
      </c>
      <c r="C393" s="33">
        <v>93</v>
      </c>
      <c r="D393" s="43" t="s">
        <v>2607</v>
      </c>
    </row>
    <row r="394" spans="1:4">
      <c r="C394" s="33">
        <v>1000</v>
      </c>
      <c r="D394" s="43" t="s">
        <v>2608</v>
      </c>
    </row>
    <row r="395" spans="1:4">
      <c r="C395" s="33">
        <v>2000</v>
      </c>
      <c r="D395" s="43" t="s">
        <v>2609</v>
      </c>
    </row>
    <row r="396" spans="1:4">
      <c r="C396" s="33">
        <v>4160</v>
      </c>
      <c r="D396" s="43" t="s">
        <v>2610</v>
      </c>
    </row>
    <row r="397" spans="1:4">
      <c r="A397" s="20">
        <v>45547</v>
      </c>
      <c r="B397" s="24">
        <v>5500</v>
      </c>
      <c r="C397" s="33">
        <v>500</v>
      </c>
      <c r="D397" s="43" t="s">
        <v>2611</v>
      </c>
    </row>
    <row r="398" spans="1:4">
      <c r="B398" s="24">
        <v>70000</v>
      </c>
      <c r="D398" s="43" t="s">
        <v>2612</v>
      </c>
    </row>
    <row r="399" spans="1:4">
      <c r="A399" s="20">
        <v>45554</v>
      </c>
      <c r="B399" s="24">
        <v>6000</v>
      </c>
      <c r="D399" s="43" t="s">
        <v>2613</v>
      </c>
    </row>
    <row r="400" spans="1:4">
      <c r="B400" s="24">
        <v>7000</v>
      </c>
      <c r="D400" s="43" t="s">
        <v>2614</v>
      </c>
    </row>
    <row r="401" spans="1:4">
      <c r="B401" s="24">
        <v>17500</v>
      </c>
      <c r="C401" s="33">
        <v>1225</v>
      </c>
      <c r="D401" s="43" t="s">
        <v>2615</v>
      </c>
    </row>
    <row r="402" spans="1:4">
      <c r="C402" s="33">
        <v>450</v>
      </c>
      <c r="D402" s="43" t="s">
        <v>2616</v>
      </c>
    </row>
    <row r="403" spans="1:4">
      <c r="A403" s="20">
        <v>45558</v>
      </c>
      <c r="B403" s="24">
        <v>30000</v>
      </c>
      <c r="C403" s="33">
        <v>1800</v>
      </c>
      <c r="D403" s="43" t="s">
        <v>2617</v>
      </c>
    </row>
    <row r="404" spans="1:4">
      <c r="C404" s="33">
        <v>6000</v>
      </c>
      <c r="D404" s="43" t="s">
        <v>2618</v>
      </c>
    </row>
    <row r="405" spans="1:4">
      <c r="B405" s="24">
        <v>5000</v>
      </c>
      <c r="C405" s="33">
        <v>300</v>
      </c>
      <c r="D405" s="18" t="s">
        <v>2619</v>
      </c>
    </row>
    <row r="406" spans="1:4">
      <c r="B406" s="24">
        <v>15000</v>
      </c>
      <c r="C406" s="33">
        <v>900</v>
      </c>
      <c r="D406" s="18" t="s">
        <v>2620</v>
      </c>
    </row>
    <row r="407" spans="1:4">
      <c r="B407" s="24">
        <v>60000</v>
      </c>
      <c r="C407" s="33">
        <v>3600</v>
      </c>
      <c r="D407" s="18" t="s">
        <v>2621</v>
      </c>
    </row>
    <row r="408" spans="1:4">
      <c r="C408" s="33">
        <v>7500</v>
      </c>
      <c r="D408" s="18" t="s">
        <v>2622</v>
      </c>
    </row>
    <row r="409" spans="1:4">
      <c r="A409" s="20">
        <v>45565</v>
      </c>
      <c r="C409" s="33">
        <v>4108</v>
      </c>
      <c r="D409" s="18" t="s">
        <v>2623</v>
      </c>
    </row>
    <row r="410" spans="1:4">
      <c r="C410" s="33">
        <v>10000</v>
      </c>
      <c r="D410" s="18" t="s">
        <v>2624</v>
      </c>
    </row>
    <row r="411" spans="1:4">
      <c r="B411" s="24">
        <v>8000</v>
      </c>
      <c r="C411" s="33">
        <v>600</v>
      </c>
      <c r="D411" s="18" t="s">
        <v>2625</v>
      </c>
    </row>
    <row r="412" spans="1:4">
      <c r="B412" s="24">
        <v>40000</v>
      </c>
      <c r="C412" s="33">
        <v>2400</v>
      </c>
      <c r="D412" s="18" t="s">
        <v>2626</v>
      </c>
    </row>
    <row r="413" spans="1:4">
      <c r="B413" s="24">
        <v>10000</v>
      </c>
      <c r="C413" s="33">
        <v>600</v>
      </c>
      <c r="D413" s="18" t="s">
        <v>2627</v>
      </c>
    </row>
    <row r="414" spans="1:4">
      <c r="A414" s="20">
        <v>45566</v>
      </c>
      <c r="D414" s="18"/>
    </row>
    <row r="415" spans="1:4">
      <c r="C415" s="33">
        <v>32800</v>
      </c>
      <c r="D415" s="18" t="s">
        <v>1718</v>
      </c>
    </row>
    <row r="416" spans="1:4">
      <c r="B416" s="24">
        <v>98599</v>
      </c>
      <c r="C416" s="33">
        <v>5916</v>
      </c>
      <c r="D416" s="18" t="s">
        <v>2628</v>
      </c>
    </row>
    <row r="417" spans="1:4">
      <c r="A417" s="20">
        <v>45568</v>
      </c>
      <c r="B417" s="24">
        <v>7000</v>
      </c>
      <c r="D417" s="18" t="s">
        <v>2629</v>
      </c>
    </row>
    <row r="418" spans="1:4">
      <c r="C418" s="33">
        <v>5000</v>
      </c>
      <c r="D418" s="18" t="s">
        <v>2630</v>
      </c>
    </row>
    <row r="419" spans="1:4">
      <c r="A419" s="20">
        <v>45570</v>
      </c>
      <c r="B419" s="24">
        <v>120000</v>
      </c>
      <c r="D419" s="18" t="s">
        <v>2631</v>
      </c>
    </row>
    <row r="420" spans="1:4">
      <c r="B420" s="24">
        <v>160599.96</v>
      </c>
      <c r="C420" s="33">
        <v>9636</v>
      </c>
      <c r="D420" s="18" t="s">
        <v>2632</v>
      </c>
    </row>
    <row r="421" spans="1:4">
      <c r="A421" s="20">
        <v>45572</v>
      </c>
      <c r="B421" s="24">
        <v>200000</v>
      </c>
      <c r="C421" s="33">
        <v>12000</v>
      </c>
      <c r="D421" s="43" t="s">
        <v>2633</v>
      </c>
    </row>
    <row r="422" spans="1:4">
      <c r="A422" s="20">
        <v>45573</v>
      </c>
      <c r="C422" s="33">
        <v>37000</v>
      </c>
      <c r="D422" s="18" t="s">
        <v>2634</v>
      </c>
    </row>
    <row r="423" spans="1:4">
      <c r="C423" s="33">
        <v>10000</v>
      </c>
      <c r="D423" s="18" t="s">
        <v>2635</v>
      </c>
    </row>
    <row r="424" spans="1:4">
      <c r="C424" s="33">
        <v>1176</v>
      </c>
      <c r="D424" s="18" t="s">
        <v>2636</v>
      </c>
    </row>
    <row r="425" spans="1:4">
      <c r="C425" s="33">
        <v>11500</v>
      </c>
      <c r="D425" s="18" t="s">
        <v>2637</v>
      </c>
    </row>
    <row r="426" spans="1:4">
      <c r="C426" s="33">
        <v>5260</v>
      </c>
      <c r="D426" s="18" t="s">
        <v>1665</v>
      </c>
    </row>
    <row r="427" spans="1:4">
      <c r="A427" s="20">
        <v>45575</v>
      </c>
      <c r="C427" s="33">
        <v>86500</v>
      </c>
      <c r="D427" s="18" t="s">
        <v>2638</v>
      </c>
    </row>
    <row r="428" spans="1:4">
      <c r="B428" s="24">
        <v>27500</v>
      </c>
      <c r="C428" s="33">
        <v>1650</v>
      </c>
      <c r="D428" s="18" t="s">
        <v>2639</v>
      </c>
    </row>
    <row r="429" spans="1:4">
      <c r="B429" s="24">
        <v>21000</v>
      </c>
      <c r="D429" s="18" t="s">
        <v>2640</v>
      </c>
    </row>
    <row r="430" spans="1:4">
      <c r="A430" s="20">
        <v>45579</v>
      </c>
      <c r="C430" s="33">
        <v>2500</v>
      </c>
      <c r="D430" s="18" t="s">
        <v>2641</v>
      </c>
    </row>
    <row r="431" spans="1:4">
      <c r="B431" s="24">
        <v>64000</v>
      </c>
      <c r="C431" s="33">
        <v>3840</v>
      </c>
      <c r="D431" s="18" t="s">
        <v>2642</v>
      </c>
    </row>
    <row r="432" spans="1:4">
      <c r="A432" s="20">
        <v>45581</v>
      </c>
      <c r="C432" s="33">
        <v>7760</v>
      </c>
      <c r="D432" s="18" t="s">
        <v>2643</v>
      </c>
    </row>
    <row r="433" spans="1:4">
      <c r="C433" s="33">
        <v>1556</v>
      </c>
      <c r="D433" s="18" t="s">
        <v>964</v>
      </c>
    </row>
    <row r="434" spans="1:4">
      <c r="C434" s="33">
        <v>1769</v>
      </c>
      <c r="D434" s="18" t="s">
        <v>964</v>
      </c>
    </row>
    <row r="435" spans="1:4">
      <c r="C435" s="33">
        <v>1662</v>
      </c>
      <c r="D435" s="18" t="s">
        <v>140</v>
      </c>
    </row>
    <row r="436" spans="1:4">
      <c r="C436" s="33">
        <v>578</v>
      </c>
      <c r="D436" s="18" t="s">
        <v>2574</v>
      </c>
    </row>
    <row r="437" spans="1:4">
      <c r="C437" s="33">
        <v>26700</v>
      </c>
      <c r="D437" s="18" t="s">
        <v>2644</v>
      </c>
    </row>
    <row r="438" spans="1:4">
      <c r="C438" s="33">
        <v>17500</v>
      </c>
      <c r="D438" s="18" t="s">
        <v>2645</v>
      </c>
    </row>
    <row r="439" spans="1:4">
      <c r="C439" s="33">
        <v>1500</v>
      </c>
      <c r="D439" s="18" t="s">
        <v>2646</v>
      </c>
    </row>
    <row r="440" spans="1:4">
      <c r="A440" s="20">
        <v>45582</v>
      </c>
      <c r="B440" s="24">
        <v>5500</v>
      </c>
      <c r="C440" s="33">
        <v>500</v>
      </c>
      <c r="D440" s="18" t="s">
        <v>2611</v>
      </c>
    </row>
    <row r="441" spans="1:4">
      <c r="B441" s="24">
        <v>1000000</v>
      </c>
      <c r="C441" s="33">
        <v>60000</v>
      </c>
      <c r="D441" s="43" t="s">
        <v>2647</v>
      </c>
    </row>
    <row r="442" spans="1:4">
      <c r="A442" s="20">
        <v>45587</v>
      </c>
      <c r="C442" s="33">
        <v>51660</v>
      </c>
      <c r="D442" s="43" t="s">
        <v>2648</v>
      </c>
    </row>
    <row r="443" spans="1:4">
      <c r="B443" s="24">
        <v>10000</v>
      </c>
      <c r="D443" s="43" t="s">
        <v>2649</v>
      </c>
    </row>
    <row r="444" spans="1:4">
      <c r="B444" s="24">
        <v>4000</v>
      </c>
      <c r="D444" s="43" t="s">
        <v>2650</v>
      </c>
    </row>
    <row r="445" spans="1:4">
      <c r="A445" s="20">
        <v>45588</v>
      </c>
      <c r="C445" s="33">
        <v>15000</v>
      </c>
      <c r="D445" s="43" t="s">
        <v>2651</v>
      </c>
    </row>
    <row r="446" spans="1:4">
      <c r="C446" s="33">
        <v>1380</v>
      </c>
      <c r="D446" s="43" t="s">
        <v>166</v>
      </c>
    </row>
    <row r="447" spans="1:4">
      <c r="B447" s="24">
        <v>50000</v>
      </c>
      <c r="C447" s="33">
        <v>4000</v>
      </c>
      <c r="D447" s="43" t="s">
        <v>2652</v>
      </c>
    </row>
    <row r="448" spans="1:4">
      <c r="A448" s="20">
        <v>45589</v>
      </c>
      <c r="B448" s="24">
        <v>24000</v>
      </c>
      <c r="C448" s="33">
        <v>1440</v>
      </c>
      <c r="D448" s="43" t="s">
        <v>2324</v>
      </c>
    </row>
    <row r="449" spans="1:4">
      <c r="B449" s="24">
        <v>47300</v>
      </c>
      <c r="C449" s="33">
        <v>2838</v>
      </c>
      <c r="D449" s="43" t="s">
        <v>2653</v>
      </c>
    </row>
    <row r="450" spans="1:4">
      <c r="B450" s="24">
        <v>228796</v>
      </c>
      <c r="C450" s="33">
        <v>13728</v>
      </c>
      <c r="D450" s="43" t="s">
        <v>2654</v>
      </c>
    </row>
    <row r="451" spans="1:4">
      <c r="C451" s="33">
        <v>46500</v>
      </c>
      <c r="D451" s="43" t="s">
        <v>2655</v>
      </c>
    </row>
    <row r="452" spans="1:4">
      <c r="A452" s="20">
        <v>45592</v>
      </c>
      <c r="C452" s="33">
        <v>3500</v>
      </c>
      <c r="D452" s="43" t="s">
        <v>2656</v>
      </c>
    </row>
    <row r="453" spans="1:4">
      <c r="C453" s="33">
        <v>7000</v>
      </c>
      <c r="D453" s="43" t="s">
        <v>2657</v>
      </c>
    </row>
    <row r="454" spans="1:4">
      <c r="C454" s="33">
        <v>120000</v>
      </c>
      <c r="D454" s="43" t="s">
        <v>2658</v>
      </c>
    </row>
    <row r="455" spans="1:4">
      <c r="A455" s="20">
        <v>45593</v>
      </c>
      <c r="C455" s="33">
        <v>50000</v>
      </c>
      <c r="D455" s="43" t="s">
        <v>2659</v>
      </c>
    </row>
    <row r="456" spans="1:4">
      <c r="C456" s="33">
        <v>810</v>
      </c>
      <c r="D456" s="43" t="s">
        <v>2660</v>
      </c>
    </row>
    <row r="457" spans="1:4">
      <c r="B457" s="24">
        <v>50000</v>
      </c>
      <c r="D457" s="43" t="s">
        <v>2661</v>
      </c>
    </row>
    <row r="458" spans="1:4">
      <c r="B458" s="24">
        <v>40000</v>
      </c>
    </row>
    <row r="459" spans="1:4">
      <c r="B459" s="24">
        <v>40000</v>
      </c>
      <c r="D459" s="43" t="s">
        <v>2662</v>
      </c>
    </row>
    <row r="460" spans="1:4">
      <c r="A460" s="20">
        <v>45598</v>
      </c>
      <c r="C460" s="33">
        <v>44344</v>
      </c>
      <c r="D460" s="43" t="s">
        <v>2663</v>
      </c>
    </row>
    <row r="461" spans="1:4">
      <c r="C461" s="33">
        <v>3800</v>
      </c>
      <c r="D461" s="43" t="s">
        <v>2664</v>
      </c>
    </row>
    <row r="462" spans="1:4">
      <c r="C462" s="33">
        <v>1570</v>
      </c>
      <c r="D462" s="43" t="s">
        <v>2665</v>
      </c>
    </row>
    <row r="463" spans="1:4">
      <c r="C463" s="33">
        <v>10000</v>
      </c>
      <c r="D463" s="43" t="s">
        <v>2666</v>
      </c>
    </row>
    <row r="464" spans="1:4">
      <c r="C464" s="33">
        <v>2000</v>
      </c>
      <c r="D464" s="43" t="s">
        <v>2667</v>
      </c>
    </row>
    <row r="465" spans="1:4">
      <c r="C465" s="33">
        <v>100000</v>
      </c>
      <c r="D465" s="43" t="s">
        <v>2668</v>
      </c>
    </row>
    <row r="466" spans="1:4">
      <c r="C466" s="33">
        <v>7740</v>
      </c>
      <c r="D466" s="43" t="s">
        <v>2669</v>
      </c>
    </row>
    <row r="467" spans="1:4">
      <c r="C467" s="33">
        <v>10000</v>
      </c>
      <c r="D467" s="43" t="s">
        <v>2669</v>
      </c>
    </row>
    <row r="468" spans="1:4">
      <c r="A468" s="20">
        <v>45601</v>
      </c>
      <c r="C468" s="33">
        <v>4700</v>
      </c>
      <c r="D468" s="43" t="s">
        <v>2670</v>
      </c>
    </row>
    <row r="469" spans="1:4">
      <c r="C469" s="33">
        <v>10000</v>
      </c>
      <c r="D469" s="43" t="s">
        <v>2671</v>
      </c>
    </row>
    <row r="470" spans="1:4">
      <c r="C470" s="33">
        <v>3000</v>
      </c>
      <c r="D470" s="43" t="s">
        <v>2672</v>
      </c>
    </row>
    <row r="471" spans="1:4">
      <c r="B471" s="24">
        <v>100000</v>
      </c>
      <c r="D471" s="43" t="s">
        <v>2673</v>
      </c>
    </row>
    <row r="472" spans="1:4">
      <c r="C472" s="33">
        <v>127222</v>
      </c>
      <c r="D472" s="43" t="s">
        <v>2674</v>
      </c>
    </row>
    <row r="473" spans="1:4">
      <c r="C473" s="33">
        <v>130000</v>
      </c>
      <c r="D473" s="43" t="s">
        <v>1094</v>
      </c>
    </row>
    <row r="474" spans="1:4">
      <c r="B474" s="24">
        <v>500000</v>
      </c>
      <c r="C474" s="33">
        <v>30000</v>
      </c>
      <c r="D474" s="43" t="s">
        <v>2675</v>
      </c>
    </row>
    <row r="475" spans="1:4">
      <c r="C475" s="33">
        <v>38200</v>
      </c>
      <c r="D475" s="43" t="s">
        <v>1718</v>
      </c>
    </row>
    <row r="476" spans="1:4">
      <c r="B476" s="24">
        <v>7000</v>
      </c>
      <c r="C476" s="33">
        <v>500</v>
      </c>
      <c r="D476" s="43" t="s">
        <v>2676</v>
      </c>
    </row>
    <row r="477" spans="1:4">
      <c r="A477" s="20">
        <v>45603</v>
      </c>
      <c r="C477" s="33">
        <v>138000</v>
      </c>
      <c r="D477" s="18" t="s">
        <v>2573</v>
      </c>
    </row>
    <row r="478" spans="1:4">
      <c r="C478" s="33">
        <v>14000</v>
      </c>
      <c r="D478" s="18" t="s">
        <v>2677</v>
      </c>
    </row>
    <row r="479" spans="1:4">
      <c r="C479" s="33">
        <v>3020</v>
      </c>
      <c r="D479" s="18" t="s">
        <v>2678</v>
      </c>
    </row>
    <row r="480" spans="1:4">
      <c r="A480" s="20">
        <v>45604</v>
      </c>
      <c r="C480" s="33">
        <v>1500</v>
      </c>
      <c r="D480" s="18" t="s">
        <v>166</v>
      </c>
    </row>
    <row r="481" spans="1:4">
      <c r="C481" s="33">
        <v>40700</v>
      </c>
      <c r="D481" s="18" t="s">
        <v>2679</v>
      </c>
    </row>
    <row r="482" spans="1:4">
      <c r="C482" s="33">
        <v>16500</v>
      </c>
      <c r="D482" s="18" t="s">
        <v>2680</v>
      </c>
    </row>
    <row r="483" spans="1:4">
      <c r="A483" s="20">
        <v>45607</v>
      </c>
      <c r="C483" s="33">
        <v>2444</v>
      </c>
      <c r="D483" s="43" t="s">
        <v>2681</v>
      </c>
    </row>
    <row r="484" spans="1:4">
      <c r="C484" s="33">
        <v>208000</v>
      </c>
      <c r="D484" s="43" t="s">
        <v>2682</v>
      </c>
    </row>
    <row r="485" spans="1:4">
      <c r="C485" s="33">
        <v>1026</v>
      </c>
      <c r="D485" s="43" t="s">
        <v>2683</v>
      </c>
    </row>
    <row r="486" spans="1:4">
      <c r="C486" s="33">
        <v>2500</v>
      </c>
      <c r="D486" s="43" t="s">
        <v>2684</v>
      </c>
    </row>
    <row r="487" spans="1:4">
      <c r="C487" s="33">
        <v>1820</v>
      </c>
      <c r="D487" s="43" t="s">
        <v>2685</v>
      </c>
    </row>
    <row r="488" spans="1:4">
      <c r="B488" s="24">
        <v>60000</v>
      </c>
      <c r="D488" s="43" t="s">
        <v>2686</v>
      </c>
    </row>
    <row r="489" spans="1:4">
      <c r="B489" s="24">
        <v>60000</v>
      </c>
      <c r="D489" s="43" t="s">
        <v>2687</v>
      </c>
    </row>
    <row r="490" spans="1:4">
      <c r="C490" s="33">
        <v>35000</v>
      </c>
      <c r="D490" s="43" t="s">
        <v>2688</v>
      </c>
    </row>
    <row r="491" spans="1:4">
      <c r="A491" s="20">
        <v>45609</v>
      </c>
      <c r="B491" s="24">
        <v>90000</v>
      </c>
      <c r="D491" s="43" t="s">
        <v>2689</v>
      </c>
    </row>
    <row r="492" spans="1:4">
      <c r="C492" s="33">
        <v>18000</v>
      </c>
      <c r="D492" s="43" t="s">
        <v>2690</v>
      </c>
    </row>
    <row r="493" spans="1:4">
      <c r="C493" s="33">
        <v>73090</v>
      </c>
      <c r="D493" s="43" t="s">
        <v>2691</v>
      </c>
    </row>
    <row r="494" spans="1:4">
      <c r="A494" s="20">
        <v>45610</v>
      </c>
      <c r="C494" s="33">
        <v>7000</v>
      </c>
      <c r="D494" s="43" t="s">
        <v>2692</v>
      </c>
    </row>
    <row r="495" spans="1:4">
      <c r="A495" s="20">
        <v>45613</v>
      </c>
      <c r="C495" s="33">
        <v>2500</v>
      </c>
      <c r="D495" s="43" t="s">
        <v>1828</v>
      </c>
    </row>
    <row r="496" spans="1:4">
      <c r="C496" s="33">
        <v>3000</v>
      </c>
      <c r="D496" s="43" t="s">
        <v>2693</v>
      </c>
    </row>
    <row r="497" spans="1:4">
      <c r="C497" s="33">
        <v>30000</v>
      </c>
      <c r="D497" s="43" t="s">
        <v>2694</v>
      </c>
    </row>
    <row r="498" spans="1:4">
      <c r="C498" s="33">
        <v>7960</v>
      </c>
      <c r="D498" s="43" t="s">
        <v>2695</v>
      </c>
    </row>
    <row r="499" spans="1:4">
      <c r="C499" s="33">
        <v>1700</v>
      </c>
      <c r="D499" s="43" t="s">
        <v>2696</v>
      </c>
    </row>
    <row r="500" spans="1:4">
      <c r="A500" s="20">
        <v>45615</v>
      </c>
      <c r="C500" s="33">
        <v>11000</v>
      </c>
      <c r="D500" s="43" t="s">
        <v>2697</v>
      </c>
    </row>
    <row r="501" spans="1:4">
      <c r="A501" s="20">
        <v>45616</v>
      </c>
      <c r="C501" s="33">
        <v>2300</v>
      </c>
      <c r="D501" s="43" t="s">
        <v>941</v>
      </c>
    </row>
    <row r="502" spans="1:4">
      <c r="C502" s="33">
        <v>16000</v>
      </c>
      <c r="D502" s="43" t="s">
        <v>2698</v>
      </c>
    </row>
    <row r="503" spans="1:4">
      <c r="B503" s="24">
        <v>24000</v>
      </c>
      <c r="C503" s="33">
        <v>1440</v>
      </c>
      <c r="D503" s="43" t="s">
        <v>2699</v>
      </c>
    </row>
    <row r="504" spans="1:4">
      <c r="B504" s="24">
        <v>121800</v>
      </c>
      <c r="C504" s="33">
        <v>7308</v>
      </c>
      <c r="D504" s="104" t="s">
        <v>2196</v>
      </c>
    </row>
    <row r="505" spans="1:4">
      <c r="B505" s="24">
        <v>121800</v>
      </c>
      <c r="C505" s="33">
        <v>7308</v>
      </c>
      <c r="D505" s="104"/>
    </row>
    <row r="506" spans="1:4">
      <c r="B506" s="24">
        <v>121800</v>
      </c>
      <c r="C506" s="33">
        <v>7308</v>
      </c>
      <c r="D506" s="104"/>
    </row>
    <row r="507" spans="1:4">
      <c r="C507" s="33">
        <v>12000</v>
      </c>
      <c r="D507" s="43" t="s">
        <v>2700</v>
      </c>
    </row>
    <row r="508" spans="1:4">
      <c r="A508" s="20">
        <v>45617</v>
      </c>
      <c r="C508" s="33">
        <v>1095</v>
      </c>
      <c r="D508" s="43" t="s">
        <v>2701</v>
      </c>
    </row>
    <row r="509" spans="1:4">
      <c r="C509" s="33">
        <v>6900</v>
      </c>
      <c r="D509" s="43" t="s">
        <v>2702</v>
      </c>
    </row>
    <row r="510" spans="1:4">
      <c r="C510" s="33">
        <v>2500</v>
      </c>
      <c r="D510" s="43" t="s">
        <v>1828</v>
      </c>
    </row>
    <row r="511" spans="1:4">
      <c r="A511" s="20">
        <v>45587</v>
      </c>
      <c r="B511" s="24">
        <v>9000</v>
      </c>
      <c r="D511" s="43" t="s">
        <v>2703</v>
      </c>
    </row>
    <row r="512" spans="1:4">
      <c r="C512" s="33">
        <v>850</v>
      </c>
      <c r="D512" s="43" t="s">
        <v>2704</v>
      </c>
    </row>
    <row r="513" spans="1:4">
      <c r="C513" s="33">
        <v>16000</v>
      </c>
      <c r="D513" s="43" t="s">
        <v>2705</v>
      </c>
    </row>
    <row r="514" spans="1:4">
      <c r="C514" s="33">
        <v>2200</v>
      </c>
      <c r="D514" s="43" t="s">
        <v>2706</v>
      </c>
    </row>
    <row r="515" spans="1:4">
      <c r="C515" s="33">
        <v>2150</v>
      </c>
      <c r="D515" s="43" t="s">
        <v>2707</v>
      </c>
    </row>
    <row r="516" spans="1:4">
      <c r="C516" s="33">
        <v>486</v>
      </c>
      <c r="D516" s="43" t="s">
        <v>2708</v>
      </c>
    </row>
    <row r="517" spans="1:4">
      <c r="A517" s="20">
        <v>45620</v>
      </c>
      <c r="B517" s="24">
        <v>173000</v>
      </c>
      <c r="D517" s="43" t="s">
        <v>2709</v>
      </c>
    </row>
    <row r="518" spans="1:4">
      <c r="B518" s="24">
        <v>25000</v>
      </c>
      <c r="D518" s="43" t="s">
        <v>2710</v>
      </c>
    </row>
    <row r="519" spans="1:4">
      <c r="C519" s="33">
        <v>65000</v>
      </c>
      <c r="D519" s="43" t="s">
        <v>2489</v>
      </c>
    </row>
    <row r="520" spans="1:4">
      <c r="C520" s="33">
        <v>317898</v>
      </c>
      <c r="D520" s="43" t="s">
        <v>2197</v>
      </c>
    </row>
    <row r="521" spans="1:4">
      <c r="C521" s="33">
        <v>3000</v>
      </c>
      <c r="D521" s="43" t="s">
        <v>1932</v>
      </c>
    </row>
    <row r="522" spans="1:4">
      <c r="B522" s="24">
        <v>30000</v>
      </c>
      <c r="D522" s="43" t="s">
        <v>2711</v>
      </c>
    </row>
    <row r="523" spans="1:4">
      <c r="C523" s="33">
        <v>25000</v>
      </c>
      <c r="D523" s="43" t="s">
        <v>2712</v>
      </c>
    </row>
    <row r="524" spans="1:4">
      <c r="C524" s="33">
        <v>10000</v>
      </c>
      <c r="D524" s="43" t="s">
        <v>2713</v>
      </c>
    </row>
    <row r="525" spans="1:4">
      <c r="C525" s="33">
        <v>9000</v>
      </c>
      <c r="D525" s="43" t="s">
        <v>2714</v>
      </c>
    </row>
    <row r="526" spans="1:4">
      <c r="A526" s="20">
        <v>45624</v>
      </c>
      <c r="B526" s="24">
        <v>1300000</v>
      </c>
      <c r="C526" s="33">
        <v>78000</v>
      </c>
      <c r="D526" s="43" t="s">
        <v>2715</v>
      </c>
    </row>
    <row r="527" spans="1:4">
      <c r="B527" s="24">
        <v>320000</v>
      </c>
      <c r="C527" s="33">
        <v>19200</v>
      </c>
      <c r="D527" s="43" t="s">
        <v>2716</v>
      </c>
    </row>
    <row r="528" spans="1:4">
      <c r="B528" s="24">
        <v>55000</v>
      </c>
      <c r="C528" s="33">
        <v>3300</v>
      </c>
      <c r="D528" s="43" t="s">
        <v>2717</v>
      </c>
    </row>
    <row r="529" spans="1:9">
      <c r="B529" s="24">
        <v>120080</v>
      </c>
      <c r="C529" s="33">
        <v>7205</v>
      </c>
      <c r="D529" s="43" t="s">
        <v>2718</v>
      </c>
    </row>
    <row r="530" spans="1:9">
      <c r="C530" s="33">
        <v>5600</v>
      </c>
      <c r="D530" s="43" t="s">
        <v>2719</v>
      </c>
    </row>
    <row r="531" spans="1:9">
      <c r="C531" s="33">
        <v>1600</v>
      </c>
      <c r="D531" s="43" t="s">
        <v>629</v>
      </c>
    </row>
    <row r="532" spans="1:9">
      <c r="C532" s="33">
        <v>2600</v>
      </c>
      <c r="D532" s="43" t="s">
        <v>2229</v>
      </c>
    </row>
    <row r="533" spans="1:9">
      <c r="C533" s="33">
        <v>5600</v>
      </c>
      <c r="D533" s="43" t="s">
        <v>1952</v>
      </c>
    </row>
    <row r="534" spans="1:9">
      <c r="C534" s="33">
        <v>2155</v>
      </c>
      <c r="D534" s="43" t="s">
        <v>2229</v>
      </c>
    </row>
    <row r="535" spans="1:9">
      <c r="C535" s="33">
        <v>3600</v>
      </c>
      <c r="D535" s="43" t="s">
        <v>2720</v>
      </c>
    </row>
    <row r="536" spans="1:9">
      <c r="C536" s="33">
        <v>16000</v>
      </c>
      <c r="D536" s="43" t="s">
        <v>2721</v>
      </c>
    </row>
    <row r="537" spans="1:9">
      <c r="A537" s="20">
        <v>45625</v>
      </c>
      <c r="C537" s="33">
        <v>3000</v>
      </c>
      <c r="D537" s="43" t="s">
        <v>55</v>
      </c>
    </row>
    <row r="538" spans="1:9">
      <c r="C538" s="33">
        <v>4500</v>
      </c>
      <c r="D538" s="43" t="s">
        <v>2722</v>
      </c>
    </row>
    <row r="539" spans="1:9">
      <c r="A539" s="20">
        <v>45628</v>
      </c>
      <c r="C539" s="33">
        <v>19756</v>
      </c>
      <c r="D539" s="43" t="s">
        <v>2129</v>
      </c>
    </row>
    <row r="540" spans="1:9">
      <c r="C540" s="33">
        <v>790</v>
      </c>
      <c r="D540" s="43" t="s">
        <v>2723</v>
      </c>
    </row>
    <row r="541" spans="1:9">
      <c r="C541" s="33">
        <v>9289</v>
      </c>
      <c r="D541" s="43" t="s">
        <v>1554</v>
      </c>
    </row>
    <row r="542" spans="1:9">
      <c r="C542" s="33">
        <v>38200</v>
      </c>
      <c r="D542" s="43" t="s">
        <v>1718</v>
      </c>
    </row>
    <row r="543" spans="1:9">
      <c r="A543" s="20">
        <v>45631</v>
      </c>
      <c r="C543" s="33">
        <v>2291</v>
      </c>
      <c r="D543" s="43" t="s">
        <v>2724</v>
      </c>
      <c r="I543" s="98" t="s">
        <v>2280</v>
      </c>
    </row>
    <row r="544" spans="1:9">
      <c r="C544" s="33">
        <v>96500</v>
      </c>
      <c r="D544" s="43" t="s">
        <v>2725</v>
      </c>
      <c r="I544" s="98" t="s">
        <v>2280</v>
      </c>
    </row>
    <row r="545" spans="1:4">
      <c r="C545" s="33">
        <v>4055</v>
      </c>
      <c r="D545" s="43" t="s">
        <v>2726</v>
      </c>
    </row>
    <row r="546" spans="1:4">
      <c r="A546" s="20">
        <v>45632</v>
      </c>
      <c r="C546" s="33">
        <v>2597</v>
      </c>
      <c r="D546" s="43" t="s">
        <v>2727</v>
      </c>
    </row>
    <row r="547" spans="1:4">
      <c r="B547" s="24">
        <v>200000</v>
      </c>
      <c r="C547" s="33">
        <v>12000</v>
      </c>
      <c r="D547" s="43" t="s">
        <v>2728</v>
      </c>
    </row>
    <row r="548" spans="1:4">
      <c r="B548" s="24">
        <v>70000</v>
      </c>
      <c r="C548" s="33">
        <v>4200</v>
      </c>
      <c r="D548" s="43" t="s">
        <v>2729</v>
      </c>
    </row>
    <row r="549" spans="1:4">
      <c r="C549" s="33">
        <v>24292</v>
      </c>
      <c r="D549" s="43" t="s">
        <v>2637</v>
      </c>
    </row>
    <row r="550" spans="1:4">
      <c r="B550" s="24">
        <v>102500</v>
      </c>
      <c r="D550" s="43" t="s">
        <v>2731</v>
      </c>
    </row>
    <row r="551" spans="1:4">
      <c r="B551" s="24">
        <v>50000</v>
      </c>
      <c r="D551" s="43" t="s">
        <v>2730</v>
      </c>
    </row>
    <row r="552" spans="1:4">
      <c r="A552" s="20">
        <v>45605</v>
      </c>
      <c r="B552" s="24">
        <v>23700</v>
      </c>
      <c r="C552" s="33">
        <v>1962</v>
      </c>
      <c r="D552" s="43" t="s">
        <v>2732</v>
      </c>
    </row>
    <row r="553" spans="1:4">
      <c r="C553" s="33">
        <v>7000</v>
      </c>
      <c r="D553" s="43" t="s">
        <v>2733</v>
      </c>
    </row>
    <row r="554" spans="1:4">
      <c r="C554" s="33">
        <v>2134</v>
      </c>
      <c r="D554" s="104" t="s">
        <v>1551</v>
      </c>
    </row>
    <row r="555" spans="1:4">
      <c r="C555" s="33">
        <v>694</v>
      </c>
      <c r="D555" s="104"/>
    </row>
    <row r="556" spans="1:4">
      <c r="C556" s="33">
        <v>1930</v>
      </c>
      <c r="D556" s="104"/>
    </row>
    <row r="557" spans="1:4">
      <c r="C557" s="33">
        <v>944</v>
      </c>
      <c r="D557" s="104"/>
    </row>
    <row r="558" spans="1:4">
      <c r="A558" s="20">
        <v>45636</v>
      </c>
      <c r="C558" s="33">
        <v>172000</v>
      </c>
      <c r="D558" s="43" t="s">
        <v>2734</v>
      </c>
    </row>
    <row r="559" spans="1:4">
      <c r="C559" s="33">
        <v>17000</v>
      </c>
      <c r="D559" s="43" t="s">
        <v>2735</v>
      </c>
    </row>
    <row r="560" spans="1:4">
      <c r="B560" s="24">
        <v>687050</v>
      </c>
      <c r="C560" s="33">
        <v>41223</v>
      </c>
      <c r="D560" s="43" t="s">
        <v>2736</v>
      </c>
    </row>
    <row r="561" spans="1:4">
      <c r="C561" s="33">
        <v>7807</v>
      </c>
      <c r="D561" s="43" t="s">
        <v>2737</v>
      </c>
    </row>
    <row r="562" spans="1:4">
      <c r="C562" s="33">
        <v>6920</v>
      </c>
      <c r="D562" s="43" t="s">
        <v>2738</v>
      </c>
    </row>
    <row r="563" spans="1:4">
      <c r="A563" s="20">
        <v>45638</v>
      </c>
      <c r="C563" s="33">
        <v>1010</v>
      </c>
      <c r="D563" s="43" t="s">
        <v>2739</v>
      </c>
    </row>
    <row r="564" spans="1:4">
      <c r="C564" s="33">
        <v>6000</v>
      </c>
      <c r="D564" s="43" t="s">
        <v>2740</v>
      </c>
    </row>
    <row r="565" spans="1:4">
      <c r="C565" s="33">
        <v>13300</v>
      </c>
      <c r="D565" s="43" t="s">
        <v>2129</v>
      </c>
    </row>
    <row r="566" spans="1:4">
      <c r="C566" s="33">
        <v>21700</v>
      </c>
      <c r="D566" s="43" t="s">
        <v>2741</v>
      </c>
    </row>
    <row r="567" spans="1:4">
      <c r="C567" s="33">
        <v>10800</v>
      </c>
      <c r="D567" s="43" t="s">
        <v>2742</v>
      </c>
    </row>
    <row r="568" spans="1:4">
      <c r="A568" s="20">
        <v>45644</v>
      </c>
      <c r="C568" s="33">
        <v>600000</v>
      </c>
      <c r="D568" s="43" t="s">
        <v>1744</v>
      </c>
    </row>
    <row r="569" spans="1:4">
      <c r="C569" s="33">
        <v>10500</v>
      </c>
      <c r="D569" s="43" t="s">
        <v>2743</v>
      </c>
    </row>
    <row r="570" spans="1:4">
      <c r="C570" s="33">
        <v>5000</v>
      </c>
      <c r="D570" s="43" t="s">
        <v>2744</v>
      </c>
    </row>
    <row r="571" spans="1:4">
      <c r="C571" s="33">
        <v>6000</v>
      </c>
      <c r="D571" s="43" t="s">
        <v>2745</v>
      </c>
    </row>
    <row r="572" spans="1:4">
      <c r="C572" s="33">
        <v>3500</v>
      </c>
      <c r="D572" s="43" t="s">
        <v>1494</v>
      </c>
    </row>
    <row r="573" spans="1:4">
      <c r="C573" s="33">
        <v>7344</v>
      </c>
      <c r="D573" s="43" t="s">
        <v>2746</v>
      </c>
    </row>
    <row r="574" spans="1:4">
      <c r="A574" s="20">
        <v>45652</v>
      </c>
      <c r="C574" s="33">
        <v>35000</v>
      </c>
      <c r="D574" s="43" t="s">
        <v>2747</v>
      </c>
    </row>
    <row r="575" spans="1:4">
      <c r="C575" s="33">
        <v>50000</v>
      </c>
      <c r="D575" s="43" t="s">
        <v>2748</v>
      </c>
    </row>
    <row r="576" spans="1:4">
      <c r="C576" s="33">
        <v>35000</v>
      </c>
      <c r="D576" s="43" t="s">
        <v>2749</v>
      </c>
    </row>
    <row r="577" spans="2:4">
      <c r="B577" s="24">
        <v>70000</v>
      </c>
      <c r="C577" s="33">
        <v>4200</v>
      </c>
      <c r="D577" s="43" t="s">
        <v>2750</v>
      </c>
    </row>
    <row r="578" spans="2:4">
      <c r="B578" s="24">
        <v>800000</v>
      </c>
      <c r="C578" s="33">
        <v>48000</v>
      </c>
      <c r="D578" s="43" t="s">
        <v>2751</v>
      </c>
    </row>
    <row r="579" spans="2:4">
      <c r="B579" s="24">
        <v>25000</v>
      </c>
      <c r="C579" s="33">
        <v>1500</v>
      </c>
      <c r="D579" s="43" t="s">
        <v>2752</v>
      </c>
    </row>
    <row r="580" spans="2:4">
      <c r="B580" s="24">
        <v>150000</v>
      </c>
      <c r="C580" s="33">
        <v>9000</v>
      </c>
      <c r="D580" s="43" t="s">
        <v>2753</v>
      </c>
    </row>
    <row r="581" spans="2:4">
      <c r="B581" s="24">
        <v>5055</v>
      </c>
      <c r="D581" s="43" t="s">
        <v>2754</v>
      </c>
    </row>
    <row r="657" spans="4:4">
      <c r="D657" s="18"/>
    </row>
    <row r="724" spans="1:4" ht="13.5" thickBot="1"/>
    <row r="725" spans="1:4" ht="15.75" thickBot="1">
      <c r="A725" s="91"/>
      <c r="B725" s="92"/>
      <c r="C725" s="93"/>
      <c r="D725" s="94"/>
    </row>
    <row r="726" spans="1:4" ht="15.75" thickBot="1">
      <c r="A726" s="91"/>
      <c r="B726" s="92"/>
      <c r="C726" s="93"/>
      <c r="D726" s="94"/>
    </row>
    <row r="727" spans="1:4" ht="15.75" thickBot="1">
      <c r="A727" s="91"/>
      <c r="B727" s="92"/>
      <c r="C727" s="93"/>
      <c r="D727" s="94"/>
    </row>
    <row r="728" spans="1:4" ht="15.75" thickBot="1">
      <c r="A728" s="91"/>
      <c r="B728" s="92"/>
      <c r="C728" s="93"/>
      <c r="D728" s="94"/>
    </row>
    <row r="729" spans="1:4" ht="15.75" thickBot="1">
      <c r="A729" s="91"/>
      <c r="B729" s="92"/>
      <c r="C729" s="93"/>
      <c r="D729" s="94"/>
    </row>
    <row r="730" spans="1:4" ht="15.75" thickBot="1">
      <c r="A730" s="91"/>
      <c r="B730" s="92"/>
      <c r="C730" s="93"/>
      <c r="D730" s="94"/>
    </row>
    <row r="731" spans="1:4" ht="15.75" thickBot="1">
      <c r="A731" s="91"/>
      <c r="B731" s="92"/>
      <c r="C731" s="93"/>
      <c r="D731" s="94"/>
    </row>
    <row r="732" spans="1:4" ht="15.75" thickBot="1">
      <c r="A732" s="91"/>
      <c r="B732" s="92"/>
      <c r="C732" s="93"/>
      <c r="D732" s="94"/>
    </row>
    <row r="733" spans="1:4" ht="15.75" thickBot="1">
      <c r="A733" s="91"/>
      <c r="B733" s="92"/>
      <c r="C733" s="93"/>
      <c r="D733" s="94"/>
    </row>
    <row r="734" spans="1:4" ht="15.75" thickBot="1">
      <c r="A734" s="91"/>
      <c r="B734" s="92"/>
      <c r="C734" s="93"/>
      <c r="D734" s="94"/>
    </row>
    <row r="735" spans="1:4" ht="15.75" thickBot="1">
      <c r="A735" s="91"/>
      <c r="B735" s="92"/>
      <c r="C735" s="93"/>
      <c r="D735" s="94"/>
    </row>
    <row r="736" spans="1:4" ht="15.75" thickBot="1">
      <c r="A736" s="91"/>
      <c r="B736" s="92"/>
      <c r="C736" s="93"/>
      <c r="D736" s="94"/>
    </row>
    <row r="737" spans="1:4" ht="15.75" thickBot="1">
      <c r="A737" s="91"/>
      <c r="B737" s="92"/>
      <c r="C737" s="93"/>
      <c r="D737" s="94"/>
    </row>
    <row r="738" spans="1:4" ht="15.75" thickBot="1">
      <c r="A738" s="91"/>
      <c r="B738" s="92"/>
      <c r="C738" s="93"/>
      <c r="D738" s="94"/>
    </row>
    <row r="739" spans="1:4" ht="15.75" thickBot="1">
      <c r="A739" s="91"/>
      <c r="B739" s="92"/>
      <c r="C739" s="93"/>
      <c r="D739" s="94"/>
    </row>
    <row r="740" spans="1:4" ht="15.75" thickBot="1">
      <c r="A740" s="91"/>
      <c r="B740" s="92"/>
      <c r="C740" s="93"/>
      <c r="D740" s="94"/>
    </row>
  </sheetData>
  <mergeCells count="12">
    <mergeCell ref="F1:H1"/>
    <mergeCell ref="F2:H2"/>
    <mergeCell ref="D358:D363"/>
    <mergeCell ref="D554:D557"/>
    <mergeCell ref="B3:C3"/>
    <mergeCell ref="G3:H3"/>
    <mergeCell ref="D44:D46"/>
    <mergeCell ref="D294:D296"/>
    <mergeCell ref="D322:D326"/>
    <mergeCell ref="D59:D60"/>
    <mergeCell ref="D504:D506"/>
    <mergeCell ref="D372:D375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4602-47E1-42AA-94BD-CEC740EDF5F4}">
  <sheetPr>
    <tabColor indexed="17"/>
  </sheetPr>
  <dimension ref="A1:I738"/>
  <sheetViews>
    <sheetView zoomScale="110" zoomScaleNormal="110" workbookViewId="0">
      <pane ySplit="3" topLeftCell="A85" activePane="bottomLeft" state="frozen"/>
      <selection pane="bottomLeft" activeCell="D30" sqref="D30"/>
    </sheetView>
  </sheetViews>
  <sheetFormatPr defaultRowHeight="12.75"/>
  <cols>
    <col min="1" max="1" width="16.85546875" style="20" customWidth="1"/>
    <col min="2" max="2" width="16.85546875" style="24" customWidth="1"/>
    <col min="3" max="3" width="16.85546875" style="33" customWidth="1"/>
    <col min="4" max="4" width="107.7109375" style="43" customWidth="1"/>
    <col min="5" max="5" width="12.42578125" style="3" customWidth="1"/>
    <col min="6" max="6" width="13.85546875" customWidth="1"/>
    <col min="9" max="9" width="9.140625" style="98"/>
  </cols>
  <sheetData>
    <row r="1" spans="1:9" s="2" customFormat="1" ht="24" customHeight="1">
      <c r="A1" s="17" t="s">
        <v>0</v>
      </c>
      <c r="B1" s="1" t="s">
        <v>1</v>
      </c>
      <c r="C1" s="22" t="s">
        <v>2</v>
      </c>
      <c r="D1" s="41" t="s">
        <v>3</v>
      </c>
      <c r="E1" s="61">
        <v>365</v>
      </c>
      <c r="F1" s="105" t="s">
        <v>272</v>
      </c>
      <c r="G1" s="105"/>
      <c r="H1" s="105"/>
      <c r="I1" s="96"/>
    </row>
    <row r="2" spans="1:9" s="2" customFormat="1" ht="24" customHeight="1">
      <c r="A2" s="19"/>
      <c r="B2" s="23">
        <f>SUM(B4:B1038)</f>
        <v>13361210</v>
      </c>
      <c r="C2" s="32">
        <f>SUM(C4:C1038)</f>
        <v>7687884.7399999993</v>
      </c>
      <c r="D2" s="42"/>
      <c r="E2" s="62">
        <f>B3/E1</f>
        <v>15543.356876712331</v>
      </c>
      <c r="F2" s="106" t="s">
        <v>274</v>
      </c>
      <c r="G2" s="106"/>
      <c r="H2" s="106"/>
      <c r="I2" s="97"/>
    </row>
    <row r="3" spans="1:9" s="2" customFormat="1" ht="24" customHeight="1">
      <c r="A3" s="19" t="s">
        <v>4</v>
      </c>
      <c r="B3" s="107">
        <f>B2-C2</f>
        <v>5673325.2600000007</v>
      </c>
      <c r="C3" s="107"/>
      <c r="D3" s="42"/>
      <c r="E3" s="62">
        <f>E2/8</f>
        <v>1942.9196095890413</v>
      </c>
      <c r="F3" s="62">
        <f>E3*160</f>
        <v>310867.13753424661</v>
      </c>
      <c r="G3" s="105" t="s">
        <v>273</v>
      </c>
      <c r="H3" s="105"/>
      <c r="I3" s="97"/>
    </row>
    <row r="4" spans="1:9">
      <c r="A4" s="20">
        <v>44938</v>
      </c>
      <c r="B4" s="24">
        <v>828923</v>
      </c>
      <c r="C4" s="33">
        <v>49735</v>
      </c>
      <c r="D4" s="43" t="s">
        <v>1814</v>
      </c>
    </row>
    <row r="5" spans="1:9">
      <c r="C5" s="33">
        <v>5491</v>
      </c>
      <c r="D5" s="43" t="s">
        <v>1815</v>
      </c>
    </row>
    <row r="6" spans="1:9">
      <c r="C6" s="33">
        <v>30000</v>
      </c>
      <c r="D6" s="43" t="s">
        <v>1816</v>
      </c>
    </row>
    <row r="7" spans="1:9">
      <c r="C7" s="33">
        <v>14200</v>
      </c>
      <c r="D7" s="43" t="s">
        <v>1817</v>
      </c>
    </row>
    <row r="8" spans="1:9">
      <c r="B8" s="24">
        <v>5000</v>
      </c>
      <c r="D8" s="43" t="s">
        <v>1818</v>
      </c>
    </row>
    <row r="9" spans="1:9">
      <c r="B9" s="24">
        <v>4000</v>
      </c>
      <c r="D9" s="43" t="s">
        <v>1819</v>
      </c>
    </row>
    <row r="10" spans="1:9">
      <c r="C10" s="33">
        <v>6500</v>
      </c>
      <c r="D10" s="43" t="s">
        <v>1621</v>
      </c>
    </row>
    <row r="11" spans="1:9">
      <c r="A11" s="20">
        <v>44939</v>
      </c>
      <c r="B11" s="24">
        <v>12000</v>
      </c>
      <c r="D11" s="43" t="s">
        <v>1821</v>
      </c>
    </row>
    <row r="12" spans="1:9">
      <c r="C12" s="33">
        <v>1800</v>
      </c>
      <c r="D12" s="43" t="s">
        <v>1822</v>
      </c>
    </row>
    <row r="13" spans="1:9">
      <c r="B13" s="24">
        <v>2000</v>
      </c>
      <c r="D13" s="43" t="s">
        <v>1823</v>
      </c>
    </row>
    <row r="14" spans="1:9">
      <c r="B14" s="24">
        <v>3000</v>
      </c>
      <c r="D14" s="43" t="s">
        <v>1824</v>
      </c>
    </row>
    <row r="15" spans="1:9">
      <c r="A15" s="20">
        <v>44941</v>
      </c>
      <c r="B15" s="24">
        <v>10000</v>
      </c>
      <c r="D15" s="43" t="s">
        <v>1825</v>
      </c>
    </row>
    <row r="16" spans="1:9">
      <c r="A16" s="20">
        <v>44942</v>
      </c>
      <c r="B16" s="24">
        <v>10000</v>
      </c>
      <c r="D16" s="43" t="s">
        <v>1826</v>
      </c>
    </row>
    <row r="17" spans="1:4">
      <c r="C17" s="33">
        <v>9500</v>
      </c>
      <c r="D17" s="43" t="s">
        <v>1827</v>
      </c>
    </row>
    <row r="18" spans="1:4">
      <c r="A18" s="20">
        <v>44944</v>
      </c>
      <c r="C18" s="33">
        <v>1000</v>
      </c>
      <c r="D18" s="43" t="s">
        <v>1828</v>
      </c>
    </row>
    <row r="19" spans="1:4">
      <c r="C19" s="33">
        <v>6000</v>
      </c>
      <c r="D19" s="43" t="s">
        <v>1829</v>
      </c>
    </row>
    <row r="20" spans="1:4">
      <c r="B20" s="24">
        <v>12000</v>
      </c>
      <c r="C20" s="33">
        <v>720</v>
      </c>
      <c r="D20" s="43" t="s">
        <v>1830</v>
      </c>
    </row>
    <row r="21" spans="1:4">
      <c r="A21" s="20">
        <v>44946</v>
      </c>
      <c r="C21" s="33">
        <v>7000</v>
      </c>
      <c r="D21" s="43" t="s">
        <v>1831</v>
      </c>
    </row>
    <row r="22" spans="1:4">
      <c r="A22" s="20">
        <v>44949</v>
      </c>
      <c r="C22" s="33">
        <v>10000</v>
      </c>
      <c r="D22" s="43" t="s">
        <v>1832</v>
      </c>
    </row>
    <row r="23" spans="1:4">
      <c r="C23" s="33">
        <v>10000</v>
      </c>
      <c r="D23" s="43" t="s">
        <v>1833</v>
      </c>
    </row>
    <row r="24" spans="1:4">
      <c r="C24" s="33">
        <v>150</v>
      </c>
      <c r="D24" s="43" t="s">
        <v>1834</v>
      </c>
    </row>
    <row r="25" spans="1:4">
      <c r="C25" s="33">
        <v>1744</v>
      </c>
      <c r="D25" s="43" t="s">
        <v>1835</v>
      </c>
    </row>
    <row r="26" spans="1:4">
      <c r="B26" s="24">
        <v>35000</v>
      </c>
      <c r="C26" s="33">
        <v>2100</v>
      </c>
      <c r="D26" s="43" t="s">
        <v>1836</v>
      </c>
    </row>
    <row r="27" spans="1:4">
      <c r="B27" s="24">
        <v>19000</v>
      </c>
      <c r="C27" s="33">
        <v>1140</v>
      </c>
      <c r="D27" s="43" t="s">
        <v>1837</v>
      </c>
    </row>
    <row r="28" spans="1:4">
      <c r="A28" s="20">
        <v>44950</v>
      </c>
      <c r="B28" s="24">
        <v>5100</v>
      </c>
      <c r="D28" s="43" t="s">
        <v>1838</v>
      </c>
    </row>
    <row r="29" spans="1:4">
      <c r="C29" s="33">
        <v>2500</v>
      </c>
      <c r="D29" s="43" t="s">
        <v>1839</v>
      </c>
    </row>
    <row r="30" spans="1:4">
      <c r="C30" s="33">
        <v>16000</v>
      </c>
      <c r="D30" s="43" t="s">
        <v>1840</v>
      </c>
    </row>
    <row r="31" spans="1:4">
      <c r="A31" s="20">
        <v>44952</v>
      </c>
      <c r="C31" s="33">
        <v>580000</v>
      </c>
      <c r="D31" s="43" t="s">
        <v>1841</v>
      </c>
    </row>
    <row r="32" spans="1:4">
      <c r="C32" s="33">
        <v>13500</v>
      </c>
      <c r="D32" s="43" t="s">
        <v>1842</v>
      </c>
    </row>
    <row r="33" spans="1:4">
      <c r="C33" s="33">
        <v>1500</v>
      </c>
      <c r="D33" s="43" t="s">
        <v>1843</v>
      </c>
    </row>
    <row r="34" spans="1:4">
      <c r="A34" s="20">
        <v>270123</v>
      </c>
      <c r="C34" s="33">
        <v>1092</v>
      </c>
      <c r="D34" s="43" t="s">
        <v>1844</v>
      </c>
    </row>
    <row r="35" spans="1:4">
      <c r="C35" s="33">
        <v>5000</v>
      </c>
      <c r="D35" s="43" t="s">
        <v>385</v>
      </c>
    </row>
    <row r="36" spans="1:4">
      <c r="C36" s="33">
        <v>810</v>
      </c>
      <c r="D36" s="43" t="s">
        <v>1822</v>
      </c>
    </row>
    <row r="37" spans="1:4">
      <c r="C37" s="33">
        <v>2500</v>
      </c>
      <c r="D37" s="43" t="s">
        <v>1822</v>
      </c>
    </row>
    <row r="38" spans="1:4">
      <c r="B38" s="24">
        <v>9400</v>
      </c>
      <c r="C38" s="33">
        <v>564</v>
      </c>
      <c r="D38" s="43" t="s">
        <v>1845</v>
      </c>
    </row>
    <row r="39" spans="1:4">
      <c r="A39" s="20">
        <v>44956</v>
      </c>
      <c r="C39" s="33">
        <v>4400</v>
      </c>
      <c r="D39" s="43" t="s">
        <v>1846</v>
      </c>
    </row>
    <row r="40" spans="1:4">
      <c r="B40" s="24">
        <v>10000</v>
      </c>
      <c r="D40" s="43" t="s">
        <v>1847</v>
      </c>
    </row>
    <row r="41" spans="1:4">
      <c r="C41" s="33">
        <v>2000</v>
      </c>
      <c r="D41" s="43" t="s">
        <v>1848</v>
      </c>
    </row>
    <row r="42" spans="1:4">
      <c r="B42" s="24">
        <v>3000</v>
      </c>
      <c r="C42" s="33">
        <v>260</v>
      </c>
      <c r="D42" s="43" t="s">
        <v>1849</v>
      </c>
    </row>
    <row r="43" spans="1:4">
      <c r="B43" s="24">
        <v>15000</v>
      </c>
      <c r="D43" s="43" t="s">
        <v>1850</v>
      </c>
    </row>
    <row r="44" spans="1:4">
      <c r="A44" s="20">
        <v>44957</v>
      </c>
      <c r="B44" s="24">
        <v>45000</v>
      </c>
      <c r="C44" s="33">
        <v>2700</v>
      </c>
      <c r="D44" s="43" t="s">
        <v>1851</v>
      </c>
    </row>
    <row r="45" spans="1:4">
      <c r="B45" s="24">
        <v>26250</v>
      </c>
      <c r="C45" s="33">
        <v>1575</v>
      </c>
      <c r="D45" s="43" t="s">
        <v>1852</v>
      </c>
    </row>
    <row r="46" spans="1:4">
      <c r="A46" s="20">
        <v>44960</v>
      </c>
      <c r="B46" s="24">
        <v>9000</v>
      </c>
      <c r="C46" s="33">
        <v>540</v>
      </c>
      <c r="D46" s="43" t="s">
        <v>1853</v>
      </c>
    </row>
    <row r="47" spans="1:4">
      <c r="B47" s="24">
        <v>50000</v>
      </c>
      <c r="D47" s="43" t="s">
        <v>1854</v>
      </c>
    </row>
    <row r="48" spans="1:4">
      <c r="C48" s="33">
        <v>12000</v>
      </c>
      <c r="D48" s="43" t="s">
        <v>1855</v>
      </c>
    </row>
    <row r="49" spans="1:4">
      <c r="C49" s="33">
        <v>19500</v>
      </c>
      <c r="D49" s="43" t="s">
        <v>1856</v>
      </c>
    </row>
    <row r="50" spans="1:4">
      <c r="A50" s="20">
        <v>44962</v>
      </c>
      <c r="C50" s="33">
        <v>11219</v>
      </c>
      <c r="D50" s="43" t="s">
        <v>1857</v>
      </c>
    </row>
    <row r="51" spans="1:4">
      <c r="A51" s="20">
        <v>44964</v>
      </c>
      <c r="C51" s="33">
        <v>7000</v>
      </c>
      <c r="D51" s="43" t="s">
        <v>1858</v>
      </c>
    </row>
    <row r="52" spans="1:4">
      <c r="A52" s="20">
        <v>44965</v>
      </c>
      <c r="B52" s="24">
        <v>10000</v>
      </c>
      <c r="D52" s="43" t="s">
        <v>1859</v>
      </c>
    </row>
    <row r="53" spans="1:4">
      <c r="C53" s="33">
        <v>5700</v>
      </c>
      <c r="D53" s="43" t="s">
        <v>1860</v>
      </c>
    </row>
    <row r="54" spans="1:4">
      <c r="A54" s="20">
        <v>44970</v>
      </c>
      <c r="C54" s="33">
        <v>300000</v>
      </c>
      <c r="D54" s="43" t="s">
        <v>1861</v>
      </c>
    </row>
    <row r="55" spans="1:4">
      <c r="C55" s="33">
        <v>12500</v>
      </c>
      <c r="D55" s="43" t="s">
        <v>1862</v>
      </c>
    </row>
    <row r="56" spans="1:4">
      <c r="C56" s="33">
        <v>25000</v>
      </c>
      <c r="D56" s="43" t="s">
        <v>1863</v>
      </c>
    </row>
    <row r="57" spans="1:4">
      <c r="C57" s="33">
        <v>10000</v>
      </c>
      <c r="D57" s="43" t="s">
        <v>1864</v>
      </c>
    </row>
    <row r="58" spans="1:4">
      <c r="B58" s="24">
        <v>44000</v>
      </c>
      <c r="C58" s="33">
        <v>2640</v>
      </c>
      <c r="D58" s="43" t="s">
        <v>1865</v>
      </c>
    </row>
    <row r="59" spans="1:4">
      <c r="A59" s="20">
        <v>44972</v>
      </c>
      <c r="C59" s="33">
        <v>3000</v>
      </c>
      <c r="D59" s="43" t="s">
        <v>1866</v>
      </c>
    </row>
    <row r="60" spans="1:4">
      <c r="C60" s="33">
        <v>1000</v>
      </c>
      <c r="D60" s="43" t="s">
        <v>1867</v>
      </c>
    </row>
    <row r="61" spans="1:4">
      <c r="B61" s="24">
        <v>4000</v>
      </c>
      <c r="D61" s="43" t="s">
        <v>1868</v>
      </c>
    </row>
    <row r="62" spans="1:4">
      <c r="A62" s="20">
        <v>44973</v>
      </c>
      <c r="B62" s="24">
        <v>46000</v>
      </c>
      <c r="C62" s="33">
        <v>2760</v>
      </c>
      <c r="D62" s="43" t="s">
        <v>1869</v>
      </c>
    </row>
    <row r="63" spans="1:4">
      <c r="A63" s="20">
        <v>44974</v>
      </c>
      <c r="B63" s="24">
        <v>6000</v>
      </c>
      <c r="C63" s="33">
        <v>180</v>
      </c>
      <c r="D63" s="43" t="s">
        <v>1870</v>
      </c>
    </row>
    <row r="64" spans="1:4">
      <c r="B64" s="24">
        <v>68425</v>
      </c>
      <c r="C64" s="33">
        <v>4106</v>
      </c>
      <c r="D64" s="43" t="s">
        <v>1871</v>
      </c>
    </row>
    <row r="65" spans="1:4">
      <c r="A65" s="20">
        <v>44977</v>
      </c>
      <c r="C65" s="33">
        <v>2500</v>
      </c>
      <c r="D65" s="43" t="s">
        <v>1867</v>
      </c>
    </row>
    <row r="66" spans="1:4">
      <c r="B66" s="24">
        <v>3500</v>
      </c>
      <c r="D66" s="43" t="s">
        <v>1872</v>
      </c>
    </row>
    <row r="67" spans="1:4">
      <c r="B67" s="24">
        <v>2000</v>
      </c>
      <c r="D67" s="43" t="s">
        <v>1873</v>
      </c>
    </row>
    <row r="68" spans="1:4">
      <c r="C68" s="33">
        <v>3000</v>
      </c>
      <c r="D68" s="43" t="s">
        <v>1386</v>
      </c>
    </row>
    <row r="69" spans="1:4">
      <c r="A69" s="20">
        <v>44978</v>
      </c>
      <c r="C69" s="33">
        <v>15000</v>
      </c>
      <c r="D69" s="43" t="s">
        <v>1874</v>
      </c>
    </row>
    <row r="70" spans="1:4">
      <c r="A70" s="20">
        <v>44979</v>
      </c>
      <c r="C70" s="33">
        <v>3500</v>
      </c>
      <c r="D70" s="43" t="s">
        <v>1875</v>
      </c>
    </row>
    <row r="71" spans="1:4">
      <c r="C71" s="33">
        <v>2059</v>
      </c>
      <c r="D71" s="43" t="s">
        <v>1876</v>
      </c>
    </row>
    <row r="72" spans="1:4">
      <c r="B72" s="24">
        <v>15000</v>
      </c>
      <c r="D72" s="43" t="s">
        <v>1877</v>
      </c>
    </row>
    <row r="73" spans="1:4">
      <c r="B73" s="24">
        <v>31600</v>
      </c>
      <c r="C73" s="33">
        <v>2212</v>
      </c>
      <c r="D73" s="43" t="s">
        <v>1878</v>
      </c>
    </row>
    <row r="74" spans="1:4">
      <c r="A74" s="20">
        <v>44983</v>
      </c>
      <c r="B74" s="24">
        <v>10000</v>
      </c>
      <c r="D74" s="43" t="s">
        <v>1879</v>
      </c>
    </row>
    <row r="75" spans="1:4">
      <c r="C75" s="33">
        <v>3900</v>
      </c>
      <c r="D75" s="43" t="s">
        <v>1875</v>
      </c>
    </row>
    <row r="76" spans="1:4">
      <c r="C76" s="33">
        <v>1000</v>
      </c>
      <c r="D76" s="43" t="s">
        <v>1880</v>
      </c>
    </row>
    <row r="77" spans="1:4">
      <c r="C77" s="33">
        <v>4000</v>
      </c>
      <c r="D77" s="43" t="s">
        <v>1875</v>
      </c>
    </row>
    <row r="78" spans="1:4">
      <c r="A78" s="20">
        <v>44984</v>
      </c>
      <c r="C78" s="33">
        <v>5300</v>
      </c>
      <c r="D78" s="43" t="s">
        <v>1881</v>
      </c>
    </row>
    <row r="79" spans="1:4">
      <c r="C79" s="33">
        <v>318</v>
      </c>
      <c r="D79" s="43" t="s">
        <v>1882</v>
      </c>
    </row>
    <row r="80" spans="1:4">
      <c r="C80" s="33">
        <v>330</v>
      </c>
      <c r="D80" s="43" t="s">
        <v>1883</v>
      </c>
    </row>
    <row r="81" spans="1:4">
      <c r="A81" s="20">
        <v>44986</v>
      </c>
      <c r="B81" s="24">
        <v>10000</v>
      </c>
      <c r="D81" s="43" t="s">
        <v>1884</v>
      </c>
    </row>
    <row r="82" spans="1:4">
      <c r="B82" s="24">
        <v>16200</v>
      </c>
      <c r="C82" s="33">
        <v>972</v>
      </c>
      <c r="D82" s="43" t="s">
        <v>1885</v>
      </c>
    </row>
    <row r="83" spans="1:4">
      <c r="B83" s="24">
        <v>27000</v>
      </c>
      <c r="C83" s="33">
        <v>1620</v>
      </c>
      <c r="D83" s="43" t="s">
        <v>1886</v>
      </c>
    </row>
    <row r="84" spans="1:4">
      <c r="C84" s="33">
        <v>1500</v>
      </c>
      <c r="D84" s="43" t="s">
        <v>1882</v>
      </c>
    </row>
    <row r="85" spans="1:4">
      <c r="C85" s="33">
        <v>2500</v>
      </c>
      <c r="D85" s="43" t="s">
        <v>1887</v>
      </c>
    </row>
    <row r="86" spans="1:4">
      <c r="B86" s="24">
        <v>60000</v>
      </c>
      <c r="D86" s="43" t="s">
        <v>1888</v>
      </c>
    </row>
    <row r="87" spans="1:4">
      <c r="C87" s="33">
        <v>7500</v>
      </c>
      <c r="D87" s="43" t="s">
        <v>1889</v>
      </c>
    </row>
    <row r="88" spans="1:4">
      <c r="A88" s="20">
        <v>44987</v>
      </c>
      <c r="C88" s="33">
        <v>9300</v>
      </c>
      <c r="D88" s="43" t="s">
        <v>1890</v>
      </c>
    </row>
    <row r="89" spans="1:4">
      <c r="B89" s="24">
        <v>17000</v>
      </c>
      <c r="D89" s="43" t="s">
        <v>1891</v>
      </c>
    </row>
    <row r="90" spans="1:4">
      <c r="A90" s="20">
        <v>44988</v>
      </c>
      <c r="B90" s="24">
        <v>6500</v>
      </c>
      <c r="D90" s="43" t="s">
        <v>1892</v>
      </c>
    </row>
    <row r="91" spans="1:4">
      <c r="C91" s="33">
        <v>17000</v>
      </c>
      <c r="D91" s="43" t="s">
        <v>1893</v>
      </c>
    </row>
    <row r="92" spans="1:4">
      <c r="C92" s="33">
        <v>32000</v>
      </c>
      <c r="D92" s="43" t="s">
        <v>1894</v>
      </c>
    </row>
    <row r="93" spans="1:4">
      <c r="B93" s="24">
        <v>575621</v>
      </c>
      <c r="C93" s="33">
        <v>40293</v>
      </c>
      <c r="D93" s="43" t="s">
        <v>1895</v>
      </c>
    </row>
    <row r="94" spans="1:4">
      <c r="C94" s="33">
        <v>500790</v>
      </c>
      <c r="D94" s="43" t="s">
        <v>1744</v>
      </c>
    </row>
    <row r="95" spans="1:4">
      <c r="A95" s="20">
        <v>44992</v>
      </c>
      <c r="C95" s="33">
        <v>2600</v>
      </c>
      <c r="D95" s="43" t="s">
        <v>1816</v>
      </c>
    </row>
    <row r="96" spans="1:4">
      <c r="C96" s="33">
        <v>2800</v>
      </c>
      <c r="D96" s="43" t="s">
        <v>1896</v>
      </c>
    </row>
    <row r="97" spans="1:4">
      <c r="A97" s="20">
        <v>44993</v>
      </c>
      <c r="C97" s="33">
        <v>3000</v>
      </c>
      <c r="D97" s="43" t="s">
        <v>1386</v>
      </c>
    </row>
    <row r="98" spans="1:4">
      <c r="A98" s="20">
        <v>44998</v>
      </c>
      <c r="B98" s="24">
        <v>3000</v>
      </c>
      <c r="D98" s="43" t="s">
        <v>1897</v>
      </c>
    </row>
    <row r="99" spans="1:4">
      <c r="C99" s="33">
        <v>5200</v>
      </c>
      <c r="D99" s="43" t="s">
        <v>1898</v>
      </c>
    </row>
    <row r="100" spans="1:4">
      <c r="A100" s="20">
        <v>45000</v>
      </c>
      <c r="C100" s="33">
        <v>2600</v>
      </c>
      <c r="D100" s="43" t="s">
        <v>1621</v>
      </c>
    </row>
    <row r="101" spans="1:4">
      <c r="C101" s="33">
        <v>3390</v>
      </c>
      <c r="D101" s="43" t="s">
        <v>1621</v>
      </c>
    </row>
    <row r="102" spans="1:4">
      <c r="A102" s="20">
        <v>45001</v>
      </c>
      <c r="B102" s="24">
        <v>7000</v>
      </c>
      <c r="C102" s="33">
        <v>6300</v>
      </c>
      <c r="D102" s="43" t="s">
        <v>1899</v>
      </c>
    </row>
    <row r="103" spans="1:4">
      <c r="B103" s="24">
        <v>6000</v>
      </c>
      <c r="D103" s="43" t="s">
        <v>1900</v>
      </c>
    </row>
    <row r="104" spans="1:4">
      <c r="A104" s="20">
        <v>45005</v>
      </c>
      <c r="B104" s="24">
        <v>8800</v>
      </c>
      <c r="D104" s="43" t="s">
        <v>1901</v>
      </c>
    </row>
    <row r="105" spans="1:4">
      <c r="B105" s="24">
        <v>12000</v>
      </c>
      <c r="C105" s="33">
        <v>840</v>
      </c>
      <c r="D105" s="43" t="s">
        <v>1902</v>
      </c>
    </row>
    <row r="106" spans="1:4">
      <c r="C106" s="33">
        <v>6000</v>
      </c>
      <c r="D106" s="43" t="s">
        <v>1903</v>
      </c>
    </row>
    <row r="107" spans="1:4">
      <c r="A107" s="20">
        <v>45006</v>
      </c>
      <c r="C107" s="33">
        <v>1100</v>
      </c>
      <c r="D107" s="43" t="s">
        <v>1904</v>
      </c>
    </row>
    <row r="108" spans="1:4">
      <c r="C108" s="33">
        <v>1070</v>
      </c>
      <c r="D108" s="43" t="s">
        <v>1905</v>
      </c>
    </row>
    <row r="109" spans="1:4">
      <c r="C109" s="33">
        <v>350</v>
      </c>
      <c r="D109" s="43" t="s">
        <v>1906</v>
      </c>
    </row>
    <row r="110" spans="1:4">
      <c r="C110" s="33">
        <v>4500</v>
      </c>
      <c r="D110" s="43" t="s">
        <v>1907</v>
      </c>
    </row>
    <row r="111" spans="1:4">
      <c r="B111" s="24">
        <v>2000</v>
      </c>
      <c r="D111" s="43" t="s">
        <v>1908</v>
      </c>
    </row>
    <row r="112" spans="1:4">
      <c r="B112" s="24">
        <v>2000</v>
      </c>
      <c r="D112" s="43" t="s">
        <v>1016</v>
      </c>
    </row>
    <row r="113" spans="1:4">
      <c r="B113" s="24">
        <v>11772</v>
      </c>
      <c r="C113" s="33">
        <v>707</v>
      </c>
      <c r="D113" s="43" t="s">
        <v>1909</v>
      </c>
    </row>
    <row r="114" spans="1:4">
      <c r="B114" s="24">
        <v>76000</v>
      </c>
      <c r="C114" s="33">
        <v>4560</v>
      </c>
      <c r="D114" s="43" t="s">
        <v>1910</v>
      </c>
    </row>
    <row r="115" spans="1:4">
      <c r="A115" s="20">
        <v>45007</v>
      </c>
      <c r="B115" s="24">
        <v>5000</v>
      </c>
      <c r="D115" s="43" t="s">
        <v>1911</v>
      </c>
    </row>
    <row r="116" spans="1:4">
      <c r="B116" s="24">
        <v>2000</v>
      </c>
      <c r="D116" s="43" t="s">
        <v>1912</v>
      </c>
    </row>
    <row r="117" spans="1:4">
      <c r="B117" s="24">
        <v>34100</v>
      </c>
      <c r="C117" s="33">
        <v>2046</v>
      </c>
      <c r="D117" s="43" t="s">
        <v>1913</v>
      </c>
    </row>
    <row r="118" spans="1:4">
      <c r="B118" s="24">
        <v>5000</v>
      </c>
      <c r="D118" s="43" t="s">
        <v>1914</v>
      </c>
    </row>
    <row r="119" spans="1:4">
      <c r="A119" s="20">
        <v>45012</v>
      </c>
      <c r="C119" s="33">
        <v>6500</v>
      </c>
      <c r="D119" s="43" t="s">
        <v>1867</v>
      </c>
    </row>
    <row r="120" spans="1:4">
      <c r="B120" s="24">
        <v>8000</v>
      </c>
      <c r="D120" s="43" t="s">
        <v>1915</v>
      </c>
    </row>
    <row r="121" spans="1:4">
      <c r="B121" s="24">
        <v>87400</v>
      </c>
      <c r="C121" s="33">
        <v>5224</v>
      </c>
      <c r="D121" s="43" t="s">
        <v>1916</v>
      </c>
    </row>
    <row r="122" spans="1:4">
      <c r="B122" s="24">
        <v>20000</v>
      </c>
      <c r="C122" s="33">
        <v>1200</v>
      </c>
      <c r="D122" s="43" t="s">
        <v>1917</v>
      </c>
    </row>
    <row r="123" spans="1:4">
      <c r="A123" s="20">
        <v>45019</v>
      </c>
      <c r="C123" s="33">
        <v>10000</v>
      </c>
      <c r="D123" s="43" t="s">
        <v>1816</v>
      </c>
    </row>
    <row r="124" spans="1:4">
      <c r="B124" s="24">
        <v>2000</v>
      </c>
      <c r="D124" s="43" t="s">
        <v>1918</v>
      </c>
    </row>
    <row r="125" spans="1:4">
      <c r="B125" s="24">
        <v>17500</v>
      </c>
      <c r="D125" s="43" t="s">
        <v>1919</v>
      </c>
    </row>
    <row r="126" spans="1:4">
      <c r="C126" s="33">
        <v>4317</v>
      </c>
      <c r="D126" s="43" t="s">
        <v>1415</v>
      </c>
    </row>
    <row r="127" spans="1:4">
      <c r="A127" s="20">
        <v>45020</v>
      </c>
      <c r="B127" s="24">
        <v>15000</v>
      </c>
      <c r="D127" s="43" t="s">
        <v>1920</v>
      </c>
    </row>
    <row r="128" spans="1:4">
      <c r="B128" s="24">
        <v>5000</v>
      </c>
      <c r="D128" s="43" t="s">
        <v>1921</v>
      </c>
    </row>
    <row r="129" spans="1:4">
      <c r="B129" s="24">
        <v>7000</v>
      </c>
      <c r="D129" s="43" t="s">
        <v>1922</v>
      </c>
    </row>
    <row r="130" spans="1:4">
      <c r="B130" s="24">
        <v>2000</v>
      </c>
      <c r="D130" s="43" t="s">
        <v>1923</v>
      </c>
    </row>
    <row r="131" spans="1:4">
      <c r="A131" s="20">
        <v>45021</v>
      </c>
      <c r="B131" s="24">
        <v>91000</v>
      </c>
      <c r="D131" s="43" t="s">
        <v>1924</v>
      </c>
    </row>
    <row r="132" spans="1:4">
      <c r="A132" s="20">
        <v>44991</v>
      </c>
      <c r="B132" s="24">
        <v>3000</v>
      </c>
      <c r="D132" s="43" t="s">
        <v>1925</v>
      </c>
    </row>
    <row r="133" spans="1:4">
      <c r="C133" s="33">
        <v>450</v>
      </c>
      <c r="D133" s="43" t="s">
        <v>1926</v>
      </c>
    </row>
    <row r="134" spans="1:4">
      <c r="C134" s="33">
        <v>8500</v>
      </c>
      <c r="D134" s="43" t="s">
        <v>1927</v>
      </c>
    </row>
    <row r="135" spans="1:4">
      <c r="A135" s="20">
        <v>45025</v>
      </c>
      <c r="C135" s="33">
        <v>12000</v>
      </c>
      <c r="D135" s="43" t="s">
        <v>1928</v>
      </c>
    </row>
    <row r="136" spans="1:4">
      <c r="B136" s="24">
        <v>2000</v>
      </c>
      <c r="D136" s="43" t="s">
        <v>1929</v>
      </c>
    </row>
    <row r="137" spans="1:4">
      <c r="B137" s="24">
        <v>7500</v>
      </c>
      <c r="D137" s="43" t="s">
        <v>1930</v>
      </c>
    </row>
    <row r="138" spans="1:4">
      <c r="C138" s="33">
        <v>4100</v>
      </c>
      <c r="D138" s="43" t="s">
        <v>1931</v>
      </c>
    </row>
    <row r="139" spans="1:4">
      <c r="B139" s="24">
        <v>12500</v>
      </c>
      <c r="D139" s="43" t="s">
        <v>1932</v>
      </c>
    </row>
    <row r="140" spans="1:4">
      <c r="A140" s="20">
        <v>45027</v>
      </c>
      <c r="B140" s="24">
        <v>4000</v>
      </c>
      <c r="D140" s="43" t="s">
        <v>1933</v>
      </c>
    </row>
    <row r="141" spans="1:4">
      <c r="A141" s="20">
        <v>45029</v>
      </c>
      <c r="C141" s="33">
        <v>250</v>
      </c>
      <c r="D141" s="43" t="s">
        <v>1934</v>
      </c>
    </row>
    <row r="142" spans="1:4">
      <c r="C142" s="33">
        <v>1000</v>
      </c>
      <c r="D142" s="43" t="s">
        <v>1935</v>
      </c>
    </row>
    <row r="143" spans="1:4">
      <c r="B143" s="24">
        <v>7000</v>
      </c>
      <c r="C143" s="33">
        <v>600</v>
      </c>
      <c r="D143" s="43" t="s">
        <v>1936</v>
      </c>
    </row>
    <row r="144" spans="1:4">
      <c r="C144" s="33">
        <v>13000</v>
      </c>
      <c r="D144" s="43" t="s">
        <v>1937</v>
      </c>
    </row>
    <row r="145" spans="1:4">
      <c r="C145" s="33">
        <v>1820</v>
      </c>
      <c r="D145" s="43" t="s">
        <v>1938</v>
      </c>
    </row>
    <row r="146" spans="1:4">
      <c r="A146" s="20">
        <v>45031</v>
      </c>
      <c r="C146" s="33">
        <v>3000</v>
      </c>
      <c r="D146" s="43" t="s">
        <v>1939</v>
      </c>
    </row>
    <row r="147" spans="1:4">
      <c r="B147" s="24">
        <v>3000</v>
      </c>
      <c r="D147" s="43" t="s">
        <v>1940</v>
      </c>
    </row>
    <row r="148" spans="1:4">
      <c r="A148" s="20">
        <v>45034</v>
      </c>
      <c r="B148" s="24">
        <v>35000</v>
      </c>
      <c r="C148" s="33">
        <v>2100</v>
      </c>
      <c r="D148" s="43" t="s">
        <v>1941</v>
      </c>
    </row>
    <row r="149" spans="1:4">
      <c r="A149" s="20">
        <v>45035</v>
      </c>
      <c r="B149" s="24">
        <v>4400</v>
      </c>
      <c r="C149" s="33">
        <v>264</v>
      </c>
      <c r="D149" s="43" t="s">
        <v>1942</v>
      </c>
    </row>
    <row r="150" spans="1:4">
      <c r="B150" s="24">
        <v>31500</v>
      </c>
      <c r="C150" s="33">
        <v>1890</v>
      </c>
      <c r="D150" s="43" t="s">
        <v>1943</v>
      </c>
    </row>
    <row r="151" spans="1:4">
      <c r="C151" s="33">
        <v>1000</v>
      </c>
      <c r="D151" s="43" t="s">
        <v>1944</v>
      </c>
    </row>
    <row r="152" spans="1:4">
      <c r="A152" s="20">
        <v>45036</v>
      </c>
      <c r="C152" s="33">
        <v>700</v>
      </c>
      <c r="D152" s="43" t="s">
        <v>1945</v>
      </c>
    </row>
    <row r="153" spans="1:4">
      <c r="C153" s="33">
        <v>250</v>
      </c>
      <c r="D153" s="43" t="s">
        <v>1946</v>
      </c>
    </row>
    <row r="154" spans="1:4">
      <c r="B154" s="24">
        <v>24592</v>
      </c>
      <c r="D154" s="43" t="s">
        <v>1947</v>
      </c>
    </row>
    <row r="155" spans="1:4">
      <c r="B155" s="24">
        <v>2000</v>
      </c>
      <c r="D155" s="43" t="s">
        <v>1948</v>
      </c>
    </row>
    <row r="156" spans="1:4">
      <c r="C156" s="33">
        <v>2500</v>
      </c>
      <c r="D156" s="43" t="s">
        <v>1949</v>
      </c>
    </row>
    <row r="157" spans="1:4">
      <c r="C157" s="33">
        <v>10800</v>
      </c>
      <c r="D157" s="43" t="s">
        <v>1950</v>
      </c>
    </row>
    <row r="158" spans="1:4">
      <c r="B158" s="24">
        <v>42900</v>
      </c>
      <c r="C158" s="33">
        <v>3003</v>
      </c>
      <c r="D158" s="43" t="s">
        <v>1951</v>
      </c>
    </row>
    <row r="159" spans="1:4">
      <c r="A159" s="20">
        <v>45042</v>
      </c>
      <c r="C159" s="33">
        <v>10000</v>
      </c>
      <c r="D159" s="43" t="s">
        <v>1867</v>
      </c>
    </row>
    <row r="160" spans="1:4">
      <c r="C160" s="33">
        <v>3200</v>
      </c>
      <c r="D160" s="43" t="s">
        <v>1952</v>
      </c>
    </row>
    <row r="161" spans="1:4">
      <c r="C161" s="33">
        <v>1000</v>
      </c>
      <c r="D161" s="43" t="s">
        <v>1953</v>
      </c>
    </row>
    <row r="162" spans="1:4">
      <c r="B162" s="24">
        <v>3000</v>
      </c>
      <c r="D162" s="43" t="s">
        <v>1954</v>
      </c>
    </row>
    <row r="163" spans="1:4">
      <c r="B163" s="24">
        <v>8800</v>
      </c>
      <c r="C163" s="33">
        <v>528</v>
      </c>
      <c r="D163" s="43" t="s">
        <v>1955</v>
      </c>
    </row>
    <row r="164" spans="1:4">
      <c r="B164" s="24">
        <v>36300</v>
      </c>
      <c r="C164" s="33">
        <v>2178</v>
      </c>
      <c r="D164" s="43" t="s">
        <v>1956</v>
      </c>
    </row>
    <row r="165" spans="1:4">
      <c r="A165" s="20">
        <v>45045</v>
      </c>
      <c r="C165" s="33">
        <v>2000</v>
      </c>
      <c r="D165" s="43" t="s">
        <v>1867</v>
      </c>
    </row>
    <row r="166" spans="1:4">
      <c r="A166" s="20">
        <v>45048</v>
      </c>
      <c r="B166" s="24">
        <v>52800</v>
      </c>
      <c r="C166" s="33">
        <v>3168</v>
      </c>
      <c r="D166" s="43" t="s">
        <v>1957</v>
      </c>
    </row>
    <row r="167" spans="1:4">
      <c r="B167" s="24">
        <v>44000</v>
      </c>
      <c r="C167" s="33">
        <v>2640</v>
      </c>
      <c r="D167" s="43" t="s">
        <v>1958</v>
      </c>
    </row>
    <row r="168" spans="1:4">
      <c r="C168" s="33">
        <v>38200</v>
      </c>
      <c r="D168" s="43" t="s">
        <v>1461</v>
      </c>
    </row>
    <row r="169" spans="1:4">
      <c r="C169" s="33">
        <v>3752.74</v>
      </c>
      <c r="D169" s="43" t="s">
        <v>1466</v>
      </c>
    </row>
    <row r="170" spans="1:4">
      <c r="C170" s="33">
        <v>2000</v>
      </c>
      <c r="D170" s="43" t="s">
        <v>1959</v>
      </c>
    </row>
    <row r="171" spans="1:4">
      <c r="C171" s="33">
        <v>3000</v>
      </c>
      <c r="D171" s="43" t="s">
        <v>1960</v>
      </c>
    </row>
    <row r="172" spans="1:4">
      <c r="C172" s="33">
        <v>1000</v>
      </c>
      <c r="D172" s="43" t="s">
        <v>1961</v>
      </c>
    </row>
    <row r="173" spans="1:4">
      <c r="A173" s="20">
        <v>45049</v>
      </c>
      <c r="B173" s="24">
        <v>7000</v>
      </c>
      <c r="D173" s="43" t="s">
        <v>1962</v>
      </c>
    </row>
    <row r="174" spans="1:4">
      <c r="C174" s="33">
        <v>5000</v>
      </c>
      <c r="D174" s="43" t="s">
        <v>1963</v>
      </c>
    </row>
    <row r="175" spans="1:4">
      <c r="C175" s="33">
        <v>1000</v>
      </c>
      <c r="D175" s="43" t="s">
        <v>1964</v>
      </c>
    </row>
    <row r="176" spans="1:4">
      <c r="A176" s="20">
        <v>45051</v>
      </c>
      <c r="B176" s="24">
        <v>11800</v>
      </c>
      <c r="D176" s="43" t="s">
        <v>1965</v>
      </c>
    </row>
    <row r="177" spans="1:4">
      <c r="C177" s="33">
        <v>650</v>
      </c>
      <c r="D177" s="43" t="s">
        <v>1966</v>
      </c>
    </row>
    <row r="178" spans="1:4">
      <c r="A178" s="20">
        <v>45052</v>
      </c>
      <c r="C178" s="33">
        <v>16000</v>
      </c>
      <c r="D178" s="43" t="s">
        <v>1967</v>
      </c>
    </row>
    <row r="179" spans="1:4">
      <c r="C179" s="33">
        <v>1270</v>
      </c>
      <c r="D179" s="43" t="s">
        <v>1968</v>
      </c>
    </row>
    <row r="180" spans="1:4">
      <c r="A180" s="20">
        <v>45054</v>
      </c>
      <c r="B180" s="24">
        <v>10000</v>
      </c>
      <c r="D180" s="43" t="s">
        <v>1969</v>
      </c>
    </row>
    <row r="181" spans="1:4">
      <c r="C181" s="33">
        <v>10000</v>
      </c>
      <c r="D181" s="43" t="s">
        <v>1970</v>
      </c>
    </row>
    <row r="182" spans="1:4">
      <c r="C182" s="33">
        <v>13000</v>
      </c>
      <c r="D182" s="43" t="s">
        <v>1971</v>
      </c>
    </row>
    <row r="183" spans="1:4">
      <c r="C183" s="33">
        <v>1500</v>
      </c>
      <c r="D183" s="43" t="s">
        <v>1972</v>
      </c>
    </row>
    <row r="184" spans="1:4">
      <c r="C184" s="33">
        <v>2500</v>
      </c>
      <c r="D184" s="43" t="s">
        <v>941</v>
      </c>
    </row>
    <row r="185" spans="1:4">
      <c r="A185" s="20">
        <v>45055</v>
      </c>
      <c r="B185" s="24">
        <v>30000</v>
      </c>
      <c r="D185" s="43" t="s">
        <v>1973</v>
      </c>
    </row>
    <row r="186" spans="1:4">
      <c r="B186" s="24">
        <v>40000</v>
      </c>
      <c r="D186" s="43" t="s">
        <v>1974</v>
      </c>
    </row>
    <row r="187" spans="1:4">
      <c r="C187" s="33">
        <v>1900</v>
      </c>
      <c r="D187" s="43" t="s">
        <v>1975</v>
      </c>
    </row>
    <row r="188" spans="1:4">
      <c r="A188" s="20">
        <v>45058</v>
      </c>
      <c r="B188" s="24">
        <v>24500</v>
      </c>
      <c r="C188" s="33">
        <v>1715</v>
      </c>
      <c r="D188" s="43" t="s">
        <v>1976</v>
      </c>
    </row>
    <row r="189" spans="1:4">
      <c r="B189" s="24">
        <v>4000</v>
      </c>
      <c r="D189" s="43" t="s">
        <v>1977</v>
      </c>
    </row>
    <row r="190" spans="1:4">
      <c r="B190" s="24">
        <v>5000</v>
      </c>
      <c r="D190" s="43" t="s">
        <v>1978</v>
      </c>
    </row>
    <row r="191" spans="1:4">
      <c r="A191" s="20">
        <v>45059</v>
      </c>
      <c r="B191" s="24">
        <v>34000</v>
      </c>
      <c r="D191" s="43" t="s">
        <v>1979</v>
      </c>
    </row>
    <row r="192" spans="1:4">
      <c r="A192" s="20">
        <v>45062</v>
      </c>
      <c r="B192" s="24">
        <v>80000</v>
      </c>
      <c r="C192" s="33">
        <v>4800</v>
      </c>
      <c r="D192" s="43" t="s">
        <v>1980</v>
      </c>
    </row>
    <row r="193" spans="1:4">
      <c r="B193" s="24">
        <v>31500</v>
      </c>
      <c r="C193" s="33">
        <v>1890</v>
      </c>
      <c r="D193" s="43" t="s">
        <v>1981</v>
      </c>
    </row>
    <row r="194" spans="1:4">
      <c r="A194" s="20">
        <v>45064</v>
      </c>
      <c r="C194" s="33">
        <v>12000</v>
      </c>
      <c r="D194" s="43" t="s">
        <v>1982</v>
      </c>
    </row>
    <row r="195" spans="1:4">
      <c r="C195" s="33">
        <v>390</v>
      </c>
      <c r="D195" s="43" t="s">
        <v>1983</v>
      </c>
    </row>
    <row r="196" spans="1:4">
      <c r="C196" s="37">
        <v>1300</v>
      </c>
      <c r="D196" s="43" t="s">
        <v>1983</v>
      </c>
    </row>
    <row r="197" spans="1:4">
      <c r="C197" s="33">
        <v>6000</v>
      </c>
      <c r="D197" s="43" t="s">
        <v>1984</v>
      </c>
    </row>
    <row r="198" spans="1:4">
      <c r="C198" s="33">
        <v>12000</v>
      </c>
      <c r="D198" s="43" t="s">
        <v>1985</v>
      </c>
    </row>
    <row r="199" spans="1:4">
      <c r="A199" s="20">
        <v>45066</v>
      </c>
      <c r="C199" s="33">
        <v>2700</v>
      </c>
      <c r="D199" s="43" t="s">
        <v>1986</v>
      </c>
    </row>
    <row r="200" spans="1:4">
      <c r="A200" s="20">
        <v>45068</v>
      </c>
      <c r="B200" s="24">
        <v>6000</v>
      </c>
      <c r="D200" s="43" t="s">
        <v>1987</v>
      </c>
    </row>
    <row r="201" spans="1:4">
      <c r="B201" s="24">
        <v>11000</v>
      </c>
      <c r="C201" s="33">
        <v>770</v>
      </c>
      <c r="D201" s="43" t="s">
        <v>1988</v>
      </c>
    </row>
    <row r="202" spans="1:4">
      <c r="A202" s="20">
        <v>45069</v>
      </c>
      <c r="B202" s="24">
        <v>72000</v>
      </c>
      <c r="C202" s="33">
        <v>4320</v>
      </c>
      <c r="D202" s="43" t="s">
        <v>1989</v>
      </c>
    </row>
    <row r="203" spans="1:4">
      <c r="B203" s="24">
        <v>67000</v>
      </c>
      <c r="C203" s="33">
        <v>4020</v>
      </c>
      <c r="D203" s="43" t="s">
        <v>1990</v>
      </c>
    </row>
    <row r="204" spans="1:4">
      <c r="A204" s="20">
        <v>45010</v>
      </c>
      <c r="B204" s="24">
        <v>10000</v>
      </c>
      <c r="D204" s="43" t="s">
        <v>1991</v>
      </c>
    </row>
    <row r="205" spans="1:4">
      <c r="B205" s="24">
        <v>2500</v>
      </c>
      <c r="D205" s="43" t="s">
        <v>1992</v>
      </c>
    </row>
    <row r="206" spans="1:4">
      <c r="C206" s="33">
        <v>3000</v>
      </c>
      <c r="D206" s="43" t="s">
        <v>1551</v>
      </c>
    </row>
    <row r="207" spans="1:4">
      <c r="C207" s="33">
        <v>32000</v>
      </c>
      <c r="D207" s="43" t="s">
        <v>1993</v>
      </c>
    </row>
    <row r="208" spans="1:4">
      <c r="A208" s="20">
        <v>45075</v>
      </c>
      <c r="B208" s="24">
        <v>2500</v>
      </c>
      <c r="D208" s="43" t="s">
        <v>1994</v>
      </c>
    </row>
    <row r="209" spans="1:4">
      <c r="A209" s="20">
        <v>45076</v>
      </c>
      <c r="B209" s="24">
        <v>25000</v>
      </c>
      <c r="D209" s="43" t="s">
        <v>1995</v>
      </c>
    </row>
    <row r="210" spans="1:4">
      <c r="B210" s="24">
        <v>11000</v>
      </c>
      <c r="C210" s="33">
        <v>660</v>
      </c>
      <c r="D210" s="43" t="s">
        <v>1996</v>
      </c>
    </row>
    <row r="211" spans="1:4">
      <c r="A211" s="20">
        <v>45078</v>
      </c>
      <c r="C211" s="33">
        <v>1800</v>
      </c>
      <c r="D211" s="43" t="s">
        <v>1997</v>
      </c>
    </row>
    <row r="212" spans="1:4">
      <c r="B212" s="24">
        <v>19350</v>
      </c>
      <c r="D212" s="43" t="s">
        <v>1998</v>
      </c>
    </row>
    <row r="213" spans="1:4">
      <c r="C213" s="33">
        <v>7500</v>
      </c>
      <c r="D213" s="43" t="s">
        <v>1999</v>
      </c>
    </row>
    <row r="214" spans="1:4">
      <c r="A214" s="20">
        <v>45080</v>
      </c>
      <c r="C214" s="33">
        <v>63000</v>
      </c>
      <c r="D214" s="43" t="s">
        <v>2000</v>
      </c>
    </row>
    <row r="215" spans="1:4">
      <c r="B215" s="24">
        <v>37400</v>
      </c>
      <c r="C215" s="33">
        <v>2244</v>
      </c>
      <c r="D215" s="43" t="s">
        <v>2001</v>
      </c>
    </row>
    <row r="216" spans="1:4">
      <c r="A216" s="20">
        <v>45082</v>
      </c>
      <c r="C216" s="33">
        <v>5000</v>
      </c>
      <c r="D216" s="43" t="s">
        <v>2002</v>
      </c>
    </row>
    <row r="217" spans="1:4">
      <c r="C217" s="33">
        <v>2500</v>
      </c>
      <c r="D217" s="43" t="s">
        <v>2003</v>
      </c>
    </row>
    <row r="218" spans="1:4">
      <c r="C218" s="33">
        <v>1750</v>
      </c>
      <c r="D218" s="43" t="s">
        <v>2004</v>
      </c>
    </row>
    <row r="219" spans="1:4">
      <c r="C219" s="33">
        <v>3719</v>
      </c>
      <c r="D219" s="43" t="s">
        <v>2005</v>
      </c>
    </row>
    <row r="220" spans="1:4">
      <c r="A220" s="20">
        <v>45083</v>
      </c>
      <c r="C220" s="33">
        <v>22500</v>
      </c>
      <c r="D220" s="43" t="s">
        <v>2006</v>
      </c>
    </row>
    <row r="221" spans="1:4">
      <c r="C221" s="33">
        <v>7500</v>
      </c>
      <c r="D221" s="43" t="s">
        <v>2007</v>
      </c>
    </row>
    <row r="222" spans="1:4">
      <c r="C222" s="33">
        <v>3100</v>
      </c>
      <c r="D222" s="43" t="s">
        <v>2008</v>
      </c>
    </row>
    <row r="223" spans="1:4">
      <c r="B223" s="24">
        <v>55000</v>
      </c>
      <c r="C223" s="33">
        <v>3330</v>
      </c>
      <c r="D223" s="43" t="s">
        <v>2009</v>
      </c>
    </row>
    <row r="224" spans="1:4">
      <c r="B224" s="24">
        <v>31500</v>
      </c>
      <c r="C224" s="33">
        <v>1890</v>
      </c>
      <c r="D224" s="43" t="s">
        <v>2010</v>
      </c>
    </row>
    <row r="225" spans="1:4">
      <c r="C225" s="33">
        <v>1500</v>
      </c>
      <c r="D225" s="43" t="s">
        <v>2011</v>
      </c>
    </row>
    <row r="226" spans="1:4">
      <c r="B226" s="24">
        <v>3300</v>
      </c>
      <c r="C226" s="33">
        <v>200</v>
      </c>
      <c r="D226" s="43" t="s">
        <v>2012</v>
      </c>
    </row>
    <row r="227" spans="1:4">
      <c r="A227" s="20">
        <v>45084</v>
      </c>
      <c r="C227" s="33">
        <v>7000</v>
      </c>
      <c r="D227" s="43" t="s">
        <v>2013</v>
      </c>
    </row>
    <row r="228" spans="1:4">
      <c r="A228" s="20">
        <v>45087</v>
      </c>
      <c r="B228" s="24">
        <v>20000</v>
      </c>
      <c r="D228" s="43" t="s">
        <v>1995</v>
      </c>
    </row>
    <row r="229" spans="1:4">
      <c r="A229" s="20">
        <v>45092</v>
      </c>
      <c r="B229" s="24">
        <v>61300</v>
      </c>
      <c r="C229" s="33">
        <v>3678</v>
      </c>
      <c r="D229" s="43" t="s">
        <v>1951</v>
      </c>
    </row>
    <row r="230" spans="1:4">
      <c r="B230" s="24">
        <v>30000</v>
      </c>
      <c r="D230" s="43" t="s">
        <v>2014</v>
      </c>
    </row>
    <row r="231" spans="1:4">
      <c r="B231" s="24">
        <v>2000</v>
      </c>
      <c r="D231" s="43" t="s">
        <v>2015</v>
      </c>
    </row>
    <row r="232" spans="1:4">
      <c r="C232" s="33">
        <v>2500</v>
      </c>
      <c r="D232" s="43" t="s">
        <v>2016</v>
      </c>
    </row>
    <row r="233" spans="1:4">
      <c r="A233" s="20">
        <v>45093</v>
      </c>
      <c r="B233" s="24">
        <v>50600</v>
      </c>
      <c r="C233" s="33">
        <v>3036</v>
      </c>
      <c r="D233" s="43" t="s">
        <v>2017</v>
      </c>
    </row>
    <row r="234" spans="1:4">
      <c r="A234" s="20">
        <v>45096</v>
      </c>
      <c r="B234" s="24">
        <v>31500</v>
      </c>
      <c r="D234" s="43" t="s">
        <v>2018</v>
      </c>
    </row>
    <row r="235" spans="1:4">
      <c r="C235" s="33">
        <v>5000</v>
      </c>
      <c r="D235" s="43" t="s">
        <v>2019</v>
      </c>
    </row>
    <row r="236" spans="1:4">
      <c r="A236" s="20">
        <v>45097</v>
      </c>
      <c r="B236" s="24">
        <v>3000</v>
      </c>
      <c r="D236" s="43" t="s">
        <v>2020</v>
      </c>
    </row>
    <row r="237" spans="1:4">
      <c r="C237" s="33">
        <v>2700</v>
      </c>
      <c r="D237" s="43" t="s">
        <v>2021</v>
      </c>
    </row>
    <row r="238" spans="1:4">
      <c r="B238" s="24">
        <v>31500</v>
      </c>
      <c r="D238" s="43" t="s">
        <v>2022</v>
      </c>
    </row>
    <row r="239" spans="1:4">
      <c r="C239" s="33">
        <v>5720</v>
      </c>
      <c r="D239" s="43" t="s">
        <v>2023</v>
      </c>
    </row>
    <row r="240" spans="1:4">
      <c r="B240" s="24">
        <v>42900</v>
      </c>
      <c r="C240" s="33">
        <v>2574</v>
      </c>
      <c r="D240" s="43" t="s">
        <v>2024</v>
      </c>
    </row>
    <row r="241" spans="1:4">
      <c r="A241" s="20">
        <v>45098</v>
      </c>
      <c r="B241" s="24">
        <v>28300</v>
      </c>
      <c r="C241" s="33">
        <v>1698</v>
      </c>
      <c r="D241" s="43" t="s">
        <v>1951</v>
      </c>
    </row>
    <row r="242" spans="1:4">
      <c r="A242" s="20">
        <v>45099</v>
      </c>
      <c r="C242" s="33">
        <v>140000</v>
      </c>
      <c r="D242" s="43" t="s">
        <v>2025</v>
      </c>
    </row>
    <row r="243" spans="1:4">
      <c r="A243" s="20">
        <v>45101</v>
      </c>
      <c r="B243" s="24">
        <v>21111</v>
      </c>
      <c r="D243" s="43" t="s">
        <v>2026</v>
      </c>
    </row>
    <row r="244" spans="1:4">
      <c r="A244" s="20">
        <v>45102</v>
      </c>
      <c r="C244" s="33">
        <v>4000</v>
      </c>
      <c r="D244" s="43" t="s">
        <v>2027</v>
      </c>
    </row>
    <row r="245" spans="1:4">
      <c r="C245" s="33">
        <v>500</v>
      </c>
      <c r="D245" s="43" t="s">
        <v>1812</v>
      </c>
    </row>
    <row r="246" spans="1:4">
      <c r="C246" s="33">
        <v>1500</v>
      </c>
      <c r="D246" s="43" t="s">
        <v>1386</v>
      </c>
    </row>
    <row r="247" spans="1:4">
      <c r="A247" s="20">
        <v>45104</v>
      </c>
      <c r="C247" s="33">
        <v>1000</v>
      </c>
      <c r="D247" s="43" t="s">
        <v>2028</v>
      </c>
    </row>
    <row r="248" spans="1:4">
      <c r="A248" s="20">
        <v>45105</v>
      </c>
      <c r="B248" s="24">
        <v>2000</v>
      </c>
      <c r="D248" s="43" t="s">
        <v>2029</v>
      </c>
    </row>
    <row r="249" spans="1:4">
      <c r="A249" s="20">
        <v>45106</v>
      </c>
      <c r="C249" s="33">
        <v>2000</v>
      </c>
      <c r="D249" s="43" t="s">
        <v>2030</v>
      </c>
    </row>
    <row r="250" spans="1:4">
      <c r="A250" s="20">
        <v>45107</v>
      </c>
      <c r="B250" s="24">
        <v>5000</v>
      </c>
      <c r="D250" s="43" t="s">
        <v>2031</v>
      </c>
    </row>
    <row r="251" spans="1:4">
      <c r="C251" s="33">
        <v>2500</v>
      </c>
      <c r="D251" s="43" t="s">
        <v>2032</v>
      </c>
    </row>
    <row r="252" spans="1:4">
      <c r="A252" s="20">
        <v>45110</v>
      </c>
      <c r="B252" s="24">
        <v>5000</v>
      </c>
      <c r="D252" s="43" t="s">
        <v>2033</v>
      </c>
    </row>
    <row r="253" spans="1:4">
      <c r="B253" s="24">
        <v>2000</v>
      </c>
      <c r="D253" s="43" t="s">
        <v>2034</v>
      </c>
    </row>
    <row r="254" spans="1:4">
      <c r="B254" s="24">
        <v>8000</v>
      </c>
      <c r="D254" s="43" t="s">
        <v>1969</v>
      </c>
    </row>
    <row r="255" spans="1:4">
      <c r="C255" s="33">
        <v>2500</v>
      </c>
      <c r="D255" s="43" t="s">
        <v>2035</v>
      </c>
    </row>
    <row r="256" spans="1:4">
      <c r="A256" s="20">
        <v>45111</v>
      </c>
      <c r="B256" s="24">
        <v>65600</v>
      </c>
      <c r="C256" s="33">
        <v>3963</v>
      </c>
      <c r="D256" s="43" t="s">
        <v>2036</v>
      </c>
    </row>
    <row r="257" spans="1:4">
      <c r="C257" s="33">
        <v>1200</v>
      </c>
      <c r="D257" s="43" t="s">
        <v>2041</v>
      </c>
    </row>
    <row r="258" spans="1:4">
      <c r="A258" s="20">
        <v>45112</v>
      </c>
      <c r="B258" s="24">
        <v>18000</v>
      </c>
      <c r="D258" s="43" t="s">
        <v>2037</v>
      </c>
    </row>
    <row r="259" spans="1:4">
      <c r="A259" s="20">
        <v>45113</v>
      </c>
      <c r="B259" s="24">
        <v>18700</v>
      </c>
      <c r="C259" s="33">
        <v>1122</v>
      </c>
      <c r="D259" s="43" t="s">
        <v>2038</v>
      </c>
    </row>
    <row r="260" spans="1:4">
      <c r="C260" s="33">
        <v>700</v>
      </c>
      <c r="D260" s="43" t="s">
        <v>2039</v>
      </c>
    </row>
    <row r="261" spans="1:4">
      <c r="C261" s="33">
        <v>1432</v>
      </c>
      <c r="D261" s="43" t="s">
        <v>2040</v>
      </c>
    </row>
    <row r="262" spans="1:4">
      <c r="B262" s="24">
        <v>41000</v>
      </c>
      <c r="D262" s="43" t="s">
        <v>2042</v>
      </c>
    </row>
    <row r="263" spans="1:4">
      <c r="C263" s="33">
        <v>37300</v>
      </c>
      <c r="D263" s="43" t="s">
        <v>2043</v>
      </c>
    </row>
    <row r="264" spans="1:4">
      <c r="A264" s="20">
        <v>45114</v>
      </c>
      <c r="C264" s="33">
        <v>585</v>
      </c>
      <c r="D264" s="43" t="s">
        <v>2044</v>
      </c>
    </row>
    <row r="265" spans="1:4">
      <c r="C265" s="33">
        <v>613</v>
      </c>
      <c r="D265" s="43" t="s">
        <v>2045</v>
      </c>
    </row>
    <row r="266" spans="1:4">
      <c r="A266" s="20">
        <v>45115</v>
      </c>
      <c r="C266" s="33">
        <v>17000</v>
      </c>
      <c r="D266" s="43" t="s">
        <v>2046</v>
      </c>
    </row>
    <row r="267" spans="1:4">
      <c r="A267" s="20">
        <v>45117</v>
      </c>
      <c r="B267" s="24">
        <v>30000</v>
      </c>
      <c r="D267" s="43" t="s">
        <v>2047</v>
      </c>
    </row>
    <row r="268" spans="1:4">
      <c r="A268" s="20">
        <v>45119</v>
      </c>
      <c r="C268" s="33">
        <v>950</v>
      </c>
      <c r="D268" s="43" t="s">
        <v>1835</v>
      </c>
    </row>
    <row r="269" spans="1:4">
      <c r="C269" s="33">
        <v>5500</v>
      </c>
      <c r="D269" s="43" t="s">
        <v>2048</v>
      </c>
    </row>
    <row r="270" spans="1:4">
      <c r="C270" s="33">
        <v>1500</v>
      </c>
      <c r="D270" s="43" t="s">
        <v>2049</v>
      </c>
    </row>
    <row r="271" spans="1:4">
      <c r="B271" s="24">
        <v>193000</v>
      </c>
      <c r="D271" s="43" t="s">
        <v>2052</v>
      </c>
    </row>
    <row r="272" spans="1:4">
      <c r="A272" s="20">
        <v>45120</v>
      </c>
      <c r="C272" s="33">
        <v>5000</v>
      </c>
      <c r="D272" s="43" t="s">
        <v>1386</v>
      </c>
    </row>
    <row r="273" spans="1:4">
      <c r="B273" s="24">
        <v>6000</v>
      </c>
      <c r="D273" s="43" t="s">
        <v>2050</v>
      </c>
    </row>
    <row r="274" spans="1:4">
      <c r="B274" s="24">
        <v>2750</v>
      </c>
      <c r="C274" s="33">
        <v>165</v>
      </c>
      <c r="D274" s="43" t="s">
        <v>2051</v>
      </c>
    </row>
    <row r="275" spans="1:4">
      <c r="C275" s="33">
        <v>18000</v>
      </c>
      <c r="D275" s="43" t="s">
        <v>2053</v>
      </c>
    </row>
    <row r="276" spans="1:4">
      <c r="C276" s="33">
        <v>32000</v>
      </c>
      <c r="D276" s="43" t="s">
        <v>2054</v>
      </c>
    </row>
    <row r="277" spans="1:4">
      <c r="C277" s="33">
        <v>27600</v>
      </c>
      <c r="D277" s="43" t="s">
        <v>2055</v>
      </c>
    </row>
    <row r="278" spans="1:4">
      <c r="A278" s="20">
        <v>45121</v>
      </c>
      <c r="B278" s="24">
        <v>25000</v>
      </c>
      <c r="C278" s="33">
        <v>1500</v>
      </c>
      <c r="D278" s="43" t="s">
        <v>2056</v>
      </c>
    </row>
    <row r="279" spans="1:4">
      <c r="B279" s="24">
        <v>156000</v>
      </c>
      <c r="C279" s="33">
        <v>9360</v>
      </c>
      <c r="D279" s="43" t="s">
        <v>2057</v>
      </c>
    </row>
    <row r="280" spans="1:4">
      <c r="A280" s="20">
        <v>45122</v>
      </c>
      <c r="C280" s="33">
        <v>24400</v>
      </c>
      <c r="D280" s="43" t="s">
        <v>2058</v>
      </c>
    </row>
    <row r="281" spans="1:4">
      <c r="C281" s="33">
        <v>1914</v>
      </c>
      <c r="D281" s="43" t="s">
        <v>1867</v>
      </c>
    </row>
    <row r="282" spans="1:4">
      <c r="A282" s="20">
        <v>45124</v>
      </c>
      <c r="C282" s="33">
        <v>12000</v>
      </c>
      <c r="D282" s="43" t="s">
        <v>2059</v>
      </c>
    </row>
    <row r="283" spans="1:4">
      <c r="C283" s="33">
        <v>6000</v>
      </c>
      <c r="D283" s="43" t="s">
        <v>1386</v>
      </c>
    </row>
    <row r="284" spans="1:4">
      <c r="C284" s="33">
        <v>2500</v>
      </c>
      <c r="D284" s="43" t="s">
        <v>2060</v>
      </c>
    </row>
    <row r="285" spans="1:4">
      <c r="C285" s="33">
        <v>6600</v>
      </c>
      <c r="D285" s="43" t="s">
        <v>2061</v>
      </c>
    </row>
    <row r="286" spans="1:4">
      <c r="C286" s="33">
        <v>2000</v>
      </c>
      <c r="D286" s="43" t="s">
        <v>2062</v>
      </c>
    </row>
    <row r="287" spans="1:4">
      <c r="A287" s="20">
        <v>45126</v>
      </c>
      <c r="B287" s="24">
        <v>25300</v>
      </c>
      <c r="C287" s="33">
        <v>1518</v>
      </c>
      <c r="D287" s="43" t="s">
        <v>2063</v>
      </c>
    </row>
    <row r="288" spans="1:4">
      <c r="C288" s="33">
        <v>4400</v>
      </c>
      <c r="D288" s="43" t="s">
        <v>2064</v>
      </c>
    </row>
    <row r="289" spans="1:4">
      <c r="A289" s="20">
        <v>45128</v>
      </c>
      <c r="C289" s="33">
        <v>1500</v>
      </c>
      <c r="D289" s="43" t="s">
        <v>1386</v>
      </c>
    </row>
    <row r="290" spans="1:4">
      <c r="A290" s="20">
        <v>45131</v>
      </c>
      <c r="C290" s="33">
        <v>31000</v>
      </c>
      <c r="D290" s="43" t="s">
        <v>2065</v>
      </c>
    </row>
    <row r="291" spans="1:4">
      <c r="C291" s="33">
        <v>8300</v>
      </c>
      <c r="D291" s="43" t="s">
        <v>2066</v>
      </c>
    </row>
    <row r="292" spans="1:4">
      <c r="C292" s="33">
        <v>76500</v>
      </c>
      <c r="D292" s="43" t="s">
        <v>2067</v>
      </c>
    </row>
    <row r="293" spans="1:4">
      <c r="B293" s="24">
        <v>5000</v>
      </c>
      <c r="C293" s="33">
        <v>350</v>
      </c>
      <c r="D293" s="43" t="s">
        <v>2068</v>
      </c>
    </row>
    <row r="294" spans="1:4">
      <c r="B294" s="24">
        <v>25000</v>
      </c>
      <c r="D294" s="43" t="s">
        <v>2069</v>
      </c>
    </row>
    <row r="295" spans="1:4">
      <c r="A295" s="20">
        <v>45132</v>
      </c>
      <c r="C295" s="33">
        <v>1000</v>
      </c>
      <c r="D295" s="43" t="s">
        <v>2070</v>
      </c>
    </row>
    <row r="296" spans="1:4">
      <c r="B296" s="24">
        <v>30000</v>
      </c>
      <c r="C296" s="33">
        <v>1800</v>
      </c>
      <c r="D296" s="43" t="s">
        <v>2071</v>
      </c>
    </row>
    <row r="297" spans="1:4">
      <c r="B297" s="24">
        <v>120000</v>
      </c>
      <c r="C297" s="33">
        <v>7200</v>
      </c>
      <c r="D297" s="43" t="s">
        <v>2072</v>
      </c>
    </row>
    <row r="298" spans="1:4">
      <c r="A298" s="20">
        <v>45133</v>
      </c>
      <c r="B298" s="24">
        <v>12000</v>
      </c>
      <c r="D298" s="43" t="s">
        <v>2073</v>
      </c>
    </row>
    <row r="299" spans="1:4">
      <c r="C299" s="33">
        <v>6900</v>
      </c>
      <c r="D299" s="43" t="s">
        <v>2074</v>
      </c>
    </row>
    <row r="300" spans="1:4">
      <c r="C300" s="33">
        <v>1100</v>
      </c>
      <c r="D300" s="43" t="s">
        <v>2075</v>
      </c>
    </row>
    <row r="301" spans="1:4">
      <c r="C301" s="33">
        <v>2104</v>
      </c>
      <c r="D301" s="43" t="s">
        <v>2076</v>
      </c>
    </row>
    <row r="302" spans="1:4">
      <c r="C302" s="33">
        <v>520</v>
      </c>
      <c r="D302" s="43" t="s">
        <v>2077</v>
      </c>
    </row>
    <row r="303" spans="1:4">
      <c r="C303" s="33">
        <v>812</v>
      </c>
      <c r="D303" s="43" t="s">
        <v>2078</v>
      </c>
    </row>
    <row r="304" spans="1:4">
      <c r="C304" s="33">
        <v>2184</v>
      </c>
      <c r="D304" s="43" t="s">
        <v>2079</v>
      </c>
    </row>
    <row r="305" spans="1:4">
      <c r="C305" s="33">
        <v>3300</v>
      </c>
      <c r="D305" s="43" t="s">
        <v>2080</v>
      </c>
    </row>
    <row r="306" spans="1:4">
      <c r="C306" s="33">
        <v>279</v>
      </c>
      <c r="D306" s="43" t="s">
        <v>2081</v>
      </c>
    </row>
    <row r="307" spans="1:4">
      <c r="B307" s="24">
        <v>16000</v>
      </c>
      <c r="C307" s="33">
        <v>960</v>
      </c>
      <c r="D307" s="43" t="s">
        <v>2082</v>
      </c>
    </row>
    <row r="308" spans="1:4">
      <c r="B308" s="24">
        <v>108000</v>
      </c>
      <c r="C308" s="33">
        <v>6480</v>
      </c>
      <c r="D308" s="43" t="s">
        <v>2083</v>
      </c>
    </row>
    <row r="309" spans="1:4">
      <c r="A309" s="20">
        <v>45134</v>
      </c>
      <c r="C309" s="33">
        <v>478</v>
      </c>
      <c r="D309" s="43" t="s">
        <v>2084</v>
      </c>
    </row>
    <row r="310" spans="1:4">
      <c r="B310" s="24">
        <v>35200</v>
      </c>
      <c r="C310" s="33">
        <v>2112</v>
      </c>
      <c r="D310" s="43" t="s">
        <v>2085</v>
      </c>
    </row>
    <row r="311" spans="1:4">
      <c r="A311" s="20">
        <v>45135</v>
      </c>
      <c r="C311" s="33">
        <v>130000</v>
      </c>
      <c r="D311" s="43" t="s">
        <v>2086</v>
      </c>
    </row>
    <row r="312" spans="1:4">
      <c r="C312" s="33">
        <v>2529</v>
      </c>
      <c r="D312" s="43" t="s">
        <v>2087</v>
      </c>
    </row>
    <row r="313" spans="1:4">
      <c r="B313" s="24">
        <v>97600</v>
      </c>
      <c r="C313" s="33">
        <v>5856</v>
      </c>
      <c r="D313" s="43" t="s">
        <v>2088</v>
      </c>
    </row>
    <row r="314" spans="1:4">
      <c r="B314" s="24">
        <v>97600</v>
      </c>
      <c r="C314" s="33">
        <v>5856</v>
      </c>
      <c r="D314" s="43" t="s">
        <v>2091</v>
      </c>
    </row>
    <row r="315" spans="1:4">
      <c r="A315" s="20">
        <v>45138</v>
      </c>
      <c r="C315" s="33">
        <v>1474</v>
      </c>
      <c r="D315" s="43" t="s">
        <v>2089</v>
      </c>
    </row>
    <row r="316" spans="1:4">
      <c r="C316" s="33">
        <v>35000</v>
      </c>
      <c r="D316" s="43" t="s">
        <v>327</v>
      </c>
    </row>
    <row r="317" spans="1:4">
      <c r="C317" s="33">
        <v>5000</v>
      </c>
      <c r="D317" s="43" t="s">
        <v>2090</v>
      </c>
    </row>
    <row r="318" spans="1:4">
      <c r="C318" s="33">
        <v>175000</v>
      </c>
      <c r="D318" s="43" t="s">
        <v>2092</v>
      </c>
    </row>
    <row r="319" spans="1:4">
      <c r="A319" s="20">
        <v>45139</v>
      </c>
      <c r="B319" s="24">
        <v>410000</v>
      </c>
      <c r="C319" s="33">
        <v>24600</v>
      </c>
      <c r="D319" s="43" t="s">
        <v>2093</v>
      </c>
    </row>
    <row r="320" spans="1:4">
      <c r="C320" s="33">
        <v>348000</v>
      </c>
      <c r="D320" s="43" t="s">
        <v>2094</v>
      </c>
    </row>
    <row r="321" spans="1:5">
      <c r="B321" s="24">
        <v>102600</v>
      </c>
      <c r="C321" s="33">
        <v>6156</v>
      </c>
      <c r="D321" s="43" t="s">
        <v>2095</v>
      </c>
    </row>
    <row r="322" spans="1:5">
      <c r="A322" s="20">
        <v>45140</v>
      </c>
      <c r="C322" s="33">
        <v>38200</v>
      </c>
      <c r="D322" s="43" t="s">
        <v>1553</v>
      </c>
    </row>
    <row r="323" spans="1:5">
      <c r="C323" s="33">
        <v>4729</v>
      </c>
      <c r="D323" s="43" t="s">
        <v>1596</v>
      </c>
    </row>
    <row r="324" spans="1:5">
      <c r="C324" s="33">
        <v>38200</v>
      </c>
      <c r="D324" s="43" t="s">
        <v>2096</v>
      </c>
    </row>
    <row r="325" spans="1:5">
      <c r="A325" s="20">
        <v>45145</v>
      </c>
      <c r="B325" s="24">
        <v>200000</v>
      </c>
      <c r="D325" s="43" t="s">
        <v>2097</v>
      </c>
    </row>
    <row r="326" spans="1:5">
      <c r="B326" s="24">
        <v>50000</v>
      </c>
      <c r="D326" s="43" t="s">
        <v>2098</v>
      </c>
    </row>
    <row r="327" spans="1:5">
      <c r="C327" s="33">
        <v>10000</v>
      </c>
      <c r="D327" s="43" t="s">
        <v>2099</v>
      </c>
    </row>
    <row r="328" spans="1:5">
      <c r="C328" s="33">
        <v>10000</v>
      </c>
      <c r="D328" s="43" t="s">
        <v>2100</v>
      </c>
    </row>
    <row r="329" spans="1:5">
      <c r="C329" s="33">
        <v>5000</v>
      </c>
      <c r="D329" s="43" t="s">
        <v>1386</v>
      </c>
    </row>
    <row r="330" spans="1:5">
      <c r="B330" s="24">
        <v>56000</v>
      </c>
      <c r="C330" s="33">
        <v>3360</v>
      </c>
      <c r="D330" s="43" t="s">
        <v>2101</v>
      </c>
    </row>
    <row r="331" spans="1:5">
      <c r="C331" s="33">
        <v>6000</v>
      </c>
      <c r="D331" s="43" t="s">
        <v>2102</v>
      </c>
    </row>
    <row r="332" spans="1:5">
      <c r="C332" s="33">
        <v>89262</v>
      </c>
      <c r="D332" s="43" t="s">
        <v>2103</v>
      </c>
    </row>
    <row r="333" spans="1:5">
      <c r="A333" s="20">
        <v>45146</v>
      </c>
      <c r="C333" s="33">
        <v>1235</v>
      </c>
      <c r="D333" s="43" t="s">
        <v>2104</v>
      </c>
    </row>
    <row r="334" spans="1:5">
      <c r="B334" s="24">
        <v>350000</v>
      </c>
      <c r="C334" s="33">
        <v>21000</v>
      </c>
      <c r="D334" s="43" t="s">
        <v>2105</v>
      </c>
      <c r="E334"/>
    </row>
    <row r="335" spans="1:5">
      <c r="B335" s="24">
        <v>6600</v>
      </c>
      <c r="C335" s="33">
        <v>396</v>
      </c>
      <c r="D335" s="43" t="s">
        <v>2106</v>
      </c>
    </row>
    <row r="336" spans="1:5">
      <c r="C336" s="33">
        <v>5900</v>
      </c>
      <c r="D336" s="43" t="s">
        <v>2107</v>
      </c>
    </row>
    <row r="337" spans="1:4">
      <c r="B337" s="24">
        <v>7000</v>
      </c>
      <c r="D337" s="43" t="s">
        <v>1841</v>
      </c>
    </row>
    <row r="338" spans="1:4">
      <c r="A338" s="20">
        <v>45147</v>
      </c>
      <c r="C338" s="33">
        <v>8970</v>
      </c>
      <c r="D338" s="43" t="s">
        <v>2108</v>
      </c>
    </row>
    <row r="339" spans="1:4">
      <c r="C339" s="33">
        <v>2190</v>
      </c>
      <c r="D339" s="43" t="s">
        <v>2109</v>
      </c>
    </row>
    <row r="340" spans="1:4">
      <c r="A340" s="20">
        <v>45150</v>
      </c>
      <c r="C340" s="33">
        <v>2000</v>
      </c>
      <c r="D340" s="43" t="s">
        <v>2110</v>
      </c>
    </row>
    <row r="341" spans="1:4">
      <c r="C341" s="33">
        <v>1000</v>
      </c>
      <c r="D341" s="43" t="s">
        <v>2100</v>
      </c>
    </row>
    <row r="342" spans="1:4">
      <c r="C342" s="33">
        <v>7000</v>
      </c>
      <c r="D342" s="43" t="s">
        <v>2111</v>
      </c>
    </row>
    <row r="343" spans="1:4">
      <c r="C343" s="33">
        <v>10000</v>
      </c>
      <c r="D343" s="43" t="s">
        <v>2112</v>
      </c>
    </row>
    <row r="344" spans="1:4">
      <c r="C344" s="33">
        <v>15000</v>
      </c>
      <c r="D344" s="43" t="s">
        <v>2113</v>
      </c>
    </row>
    <row r="345" spans="1:4">
      <c r="A345" s="20">
        <v>45152</v>
      </c>
      <c r="C345" s="33">
        <v>17000</v>
      </c>
      <c r="D345" s="43" t="s">
        <v>2114</v>
      </c>
    </row>
    <row r="346" spans="1:4">
      <c r="C346" s="33">
        <v>1720</v>
      </c>
      <c r="D346" s="43" t="s">
        <v>2115</v>
      </c>
    </row>
    <row r="347" spans="1:4">
      <c r="C347" s="33">
        <v>480</v>
      </c>
      <c r="D347" s="43" t="s">
        <v>2116</v>
      </c>
    </row>
    <row r="348" spans="1:4">
      <c r="B348" s="24">
        <v>80000</v>
      </c>
      <c r="C348" s="33">
        <v>4800</v>
      </c>
      <c r="D348" s="43" t="s">
        <v>2117</v>
      </c>
    </row>
    <row r="349" spans="1:4">
      <c r="C349" s="33">
        <v>41300</v>
      </c>
      <c r="D349" s="43" t="s">
        <v>2118</v>
      </c>
    </row>
    <row r="350" spans="1:4">
      <c r="C350" s="33">
        <v>18000</v>
      </c>
      <c r="D350" s="43" t="s">
        <v>2119</v>
      </c>
    </row>
    <row r="351" spans="1:4">
      <c r="C351" s="33">
        <v>2000</v>
      </c>
      <c r="D351" s="43" t="s">
        <v>2120</v>
      </c>
    </row>
    <row r="352" spans="1:4">
      <c r="A352" s="20">
        <v>45159</v>
      </c>
      <c r="B352" s="24">
        <v>85800</v>
      </c>
      <c r="C352" s="33">
        <v>5148</v>
      </c>
      <c r="D352" s="43" t="s">
        <v>1766</v>
      </c>
    </row>
    <row r="353" spans="1:4">
      <c r="A353" s="20">
        <v>45160</v>
      </c>
      <c r="B353" s="24">
        <v>100000</v>
      </c>
      <c r="C353" s="33">
        <v>6000</v>
      </c>
      <c r="D353" s="43" t="s">
        <v>2121</v>
      </c>
    </row>
    <row r="354" spans="1:4">
      <c r="A354" s="20">
        <v>45162</v>
      </c>
      <c r="C354" s="33">
        <v>65000</v>
      </c>
      <c r="D354" s="43" t="s">
        <v>2122</v>
      </c>
    </row>
    <row r="355" spans="1:4">
      <c r="C355" s="33">
        <v>10000</v>
      </c>
      <c r="D355" s="43" t="s">
        <v>2123</v>
      </c>
    </row>
    <row r="356" spans="1:4">
      <c r="C356" s="33">
        <v>3000</v>
      </c>
      <c r="D356" s="43" t="s">
        <v>2124</v>
      </c>
    </row>
    <row r="357" spans="1:4">
      <c r="A357" s="20">
        <v>45164</v>
      </c>
      <c r="B357" s="24">
        <v>2500</v>
      </c>
      <c r="D357" s="43" t="s">
        <v>2125</v>
      </c>
    </row>
    <row r="358" spans="1:4">
      <c r="A358" s="20">
        <v>45166</v>
      </c>
      <c r="C358" s="33">
        <v>38000</v>
      </c>
      <c r="D358" s="43" t="s">
        <v>2126</v>
      </c>
    </row>
    <row r="359" spans="1:4">
      <c r="A359" s="20">
        <v>45168</v>
      </c>
      <c r="C359" s="33">
        <v>1900</v>
      </c>
      <c r="D359" s="43" t="s">
        <v>2127</v>
      </c>
    </row>
    <row r="360" spans="1:4">
      <c r="B360" s="24">
        <v>20000</v>
      </c>
      <c r="D360" s="43" t="s">
        <v>2128</v>
      </c>
    </row>
    <row r="361" spans="1:4">
      <c r="A361" s="20">
        <v>45169</v>
      </c>
      <c r="C361" s="33">
        <v>4600</v>
      </c>
      <c r="D361" s="43" t="s">
        <v>2129</v>
      </c>
    </row>
    <row r="362" spans="1:4">
      <c r="A362" s="20">
        <v>45170</v>
      </c>
      <c r="C362" s="33">
        <v>20580</v>
      </c>
      <c r="D362" s="43" t="s">
        <v>2130</v>
      </c>
    </row>
    <row r="363" spans="1:4">
      <c r="C363" s="33">
        <v>8300</v>
      </c>
      <c r="D363" s="43" t="s">
        <v>2131</v>
      </c>
    </row>
    <row r="364" spans="1:4">
      <c r="A364" s="20">
        <v>45172</v>
      </c>
      <c r="C364" s="33">
        <v>15308</v>
      </c>
      <c r="D364" s="43" t="s">
        <v>2132</v>
      </c>
    </row>
    <row r="365" spans="1:4">
      <c r="C365" s="33">
        <v>1500</v>
      </c>
      <c r="D365" s="43" t="s">
        <v>2133</v>
      </c>
    </row>
    <row r="366" spans="1:4">
      <c r="C366" s="33">
        <v>38200</v>
      </c>
      <c r="D366" s="43" t="s">
        <v>1718</v>
      </c>
    </row>
    <row r="367" spans="1:4">
      <c r="A367" s="20">
        <v>45175</v>
      </c>
      <c r="B367" s="24">
        <v>42100</v>
      </c>
      <c r="C367" s="33">
        <v>2526</v>
      </c>
      <c r="D367" s="43" t="s">
        <v>2134</v>
      </c>
    </row>
    <row r="368" spans="1:4">
      <c r="B368" s="24">
        <v>34650</v>
      </c>
      <c r="C368" s="33">
        <v>2079</v>
      </c>
      <c r="D368" s="43" t="s">
        <v>2135</v>
      </c>
    </row>
    <row r="369" spans="1:4">
      <c r="B369" s="24">
        <v>60000</v>
      </c>
      <c r="D369" s="43" t="s">
        <v>2136</v>
      </c>
    </row>
    <row r="370" spans="1:4">
      <c r="A370" s="20">
        <v>45176</v>
      </c>
      <c r="C370" s="33">
        <v>2500</v>
      </c>
      <c r="D370" s="43" t="s">
        <v>2137</v>
      </c>
    </row>
    <row r="371" spans="1:4">
      <c r="B371" s="24">
        <v>3000</v>
      </c>
      <c r="D371" s="43" t="s">
        <v>2138</v>
      </c>
    </row>
    <row r="372" spans="1:4">
      <c r="C372" s="33">
        <v>5500</v>
      </c>
      <c r="D372" s="43" t="s">
        <v>2139</v>
      </c>
    </row>
    <row r="373" spans="1:4">
      <c r="A373" s="20">
        <v>45177</v>
      </c>
      <c r="B373" s="24">
        <v>25000</v>
      </c>
      <c r="D373" s="43" t="s">
        <v>2140</v>
      </c>
    </row>
    <row r="374" spans="1:4">
      <c r="A374" s="20">
        <v>45180</v>
      </c>
      <c r="C374" s="33">
        <v>800</v>
      </c>
      <c r="D374" s="43" t="s">
        <v>2141</v>
      </c>
    </row>
    <row r="375" spans="1:4">
      <c r="B375" s="24">
        <v>15000</v>
      </c>
      <c r="D375" s="43" t="s">
        <v>2142</v>
      </c>
    </row>
    <row r="376" spans="1:4">
      <c r="A376" s="20">
        <v>45182</v>
      </c>
      <c r="B376" s="24">
        <v>10000</v>
      </c>
      <c r="D376" s="43" t="s">
        <v>2143</v>
      </c>
    </row>
    <row r="377" spans="1:4">
      <c r="C377" s="33">
        <v>10000</v>
      </c>
      <c r="D377" s="43" t="s">
        <v>2144</v>
      </c>
    </row>
    <row r="378" spans="1:4">
      <c r="C378" s="33">
        <v>4500</v>
      </c>
      <c r="D378" s="43" t="s">
        <v>2145</v>
      </c>
    </row>
    <row r="379" spans="1:4">
      <c r="B379" s="24">
        <v>10000</v>
      </c>
      <c r="C379" s="33">
        <v>600</v>
      </c>
      <c r="D379" s="43" t="s">
        <v>2146</v>
      </c>
    </row>
    <row r="380" spans="1:4">
      <c r="C380" s="33">
        <v>85000</v>
      </c>
      <c r="D380" s="43" t="s">
        <v>2147</v>
      </c>
    </row>
    <row r="381" spans="1:4">
      <c r="A381" s="20">
        <v>45183</v>
      </c>
      <c r="C381" s="33">
        <v>10495</v>
      </c>
      <c r="D381" s="43" t="s">
        <v>2148</v>
      </c>
    </row>
    <row r="382" spans="1:4">
      <c r="C382" s="33">
        <v>4400</v>
      </c>
      <c r="D382" s="43" t="s">
        <v>1875</v>
      </c>
    </row>
    <row r="383" spans="1:4">
      <c r="A383" s="20">
        <v>45184</v>
      </c>
      <c r="C383" s="33">
        <v>23230</v>
      </c>
      <c r="D383" s="43" t="s">
        <v>2149</v>
      </c>
    </row>
    <row r="384" spans="1:4">
      <c r="A384" s="20">
        <v>45187</v>
      </c>
      <c r="B384" s="24">
        <v>90000</v>
      </c>
      <c r="C384" s="33">
        <v>5400</v>
      </c>
      <c r="D384" s="43" t="s">
        <v>2150</v>
      </c>
    </row>
    <row r="385" spans="1:4">
      <c r="C385" s="33">
        <v>40000</v>
      </c>
      <c r="D385" s="43" t="s">
        <v>2151</v>
      </c>
    </row>
    <row r="386" spans="1:4">
      <c r="C386" s="33">
        <v>4000</v>
      </c>
      <c r="D386" s="43" t="s">
        <v>2152</v>
      </c>
    </row>
    <row r="387" spans="1:4">
      <c r="A387" s="20">
        <v>45190</v>
      </c>
      <c r="B387" s="24">
        <v>90000</v>
      </c>
      <c r="C387" s="33">
        <v>5400</v>
      </c>
      <c r="D387" s="43" t="s">
        <v>2153</v>
      </c>
    </row>
    <row r="388" spans="1:4">
      <c r="A388" s="20">
        <v>45191</v>
      </c>
      <c r="C388" s="33">
        <v>13260</v>
      </c>
      <c r="D388" s="43" t="s">
        <v>2154</v>
      </c>
    </row>
    <row r="389" spans="1:4">
      <c r="C389" s="33">
        <v>1380</v>
      </c>
      <c r="D389" s="43" t="s">
        <v>2155</v>
      </c>
    </row>
    <row r="390" spans="1:4">
      <c r="A390" s="20">
        <v>45192</v>
      </c>
      <c r="C390" s="33">
        <v>32000</v>
      </c>
      <c r="D390" s="43" t="s">
        <v>2156</v>
      </c>
    </row>
    <row r="391" spans="1:4">
      <c r="C391" s="33">
        <v>2500</v>
      </c>
      <c r="D391" s="43" t="s">
        <v>2157</v>
      </c>
    </row>
    <row r="392" spans="1:4">
      <c r="C392" s="33">
        <v>2500</v>
      </c>
      <c r="D392" s="43" t="s">
        <v>2158</v>
      </c>
    </row>
    <row r="393" spans="1:4">
      <c r="A393" s="20">
        <v>45194</v>
      </c>
      <c r="C393" s="33">
        <v>5400</v>
      </c>
      <c r="D393" s="43" t="s">
        <v>2159</v>
      </c>
    </row>
    <row r="394" spans="1:4">
      <c r="B394" s="24">
        <v>30000</v>
      </c>
      <c r="D394" s="43" t="s">
        <v>2160</v>
      </c>
    </row>
    <row r="395" spans="1:4">
      <c r="B395" s="24">
        <v>25500</v>
      </c>
      <c r="C395" s="33">
        <v>1530</v>
      </c>
      <c r="D395" s="43" t="s">
        <v>2161</v>
      </c>
    </row>
    <row r="396" spans="1:4">
      <c r="B396" s="24">
        <v>14600</v>
      </c>
      <c r="C396" s="33">
        <v>876</v>
      </c>
      <c r="D396" s="43" t="s">
        <v>2162</v>
      </c>
    </row>
    <row r="397" spans="1:4">
      <c r="B397" s="24">
        <v>2500</v>
      </c>
      <c r="C397" s="33">
        <v>150</v>
      </c>
      <c r="D397" s="43" t="s">
        <v>2163</v>
      </c>
    </row>
    <row r="398" spans="1:4">
      <c r="C398" s="33">
        <v>50000</v>
      </c>
      <c r="D398" s="43" t="s">
        <v>2164</v>
      </c>
    </row>
    <row r="399" spans="1:4">
      <c r="A399" s="20">
        <v>45197</v>
      </c>
      <c r="B399" s="24">
        <v>285600</v>
      </c>
      <c r="C399" s="33">
        <v>17136</v>
      </c>
      <c r="D399" s="43" t="s">
        <v>2165</v>
      </c>
    </row>
    <row r="400" spans="1:4">
      <c r="B400" s="24">
        <v>138000</v>
      </c>
      <c r="C400" s="33">
        <v>8280</v>
      </c>
      <c r="D400" s="43" t="s">
        <v>2166</v>
      </c>
    </row>
    <row r="401" spans="1:4">
      <c r="B401" s="24">
        <v>2500</v>
      </c>
      <c r="D401" s="43" t="s">
        <v>2167</v>
      </c>
    </row>
    <row r="402" spans="1:4">
      <c r="B402" s="24">
        <v>6000</v>
      </c>
      <c r="D402" s="43" t="s">
        <v>140</v>
      </c>
    </row>
    <row r="403" spans="1:4">
      <c r="A403" s="20">
        <v>45198</v>
      </c>
      <c r="B403" s="24">
        <v>20000</v>
      </c>
      <c r="C403" s="33">
        <v>1200</v>
      </c>
      <c r="D403" s="18" t="s">
        <v>2168</v>
      </c>
    </row>
    <row r="404" spans="1:4">
      <c r="B404" s="24">
        <v>102600</v>
      </c>
      <c r="C404" s="33">
        <v>6156</v>
      </c>
      <c r="D404" s="18" t="s">
        <v>2196</v>
      </c>
    </row>
    <row r="405" spans="1:4">
      <c r="B405" s="24">
        <v>102600</v>
      </c>
      <c r="C405" s="33">
        <v>6156</v>
      </c>
      <c r="D405" s="18" t="s">
        <v>2196</v>
      </c>
    </row>
    <row r="406" spans="1:4">
      <c r="B406" s="24">
        <v>102600</v>
      </c>
      <c r="C406" s="33">
        <v>6156</v>
      </c>
      <c r="D406" s="18" t="s">
        <v>2196</v>
      </c>
    </row>
    <row r="407" spans="1:4">
      <c r="A407" s="20">
        <v>45202</v>
      </c>
      <c r="C407" s="33">
        <v>2500</v>
      </c>
      <c r="D407" s="18" t="s">
        <v>2169</v>
      </c>
    </row>
    <row r="408" spans="1:4">
      <c r="B408" s="24">
        <v>15000</v>
      </c>
      <c r="C408" s="33">
        <v>900</v>
      </c>
      <c r="D408" s="18" t="s">
        <v>2170</v>
      </c>
    </row>
    <row r="409" spans="1:4">
      <c r="C409" s="33">
        <v>38200</v>
      </c>
      <c r="D409" s="18" t="s">
        <v>2171</v>
      </c>
    </row>
    <row r="410" spans="1:4">
      <c r="C410" s="33">
        <v>3164</v>
      </c>
      <c r="D410" s="18" t="s">
        <v>2172</v>
      </c>
    </row>
    <row r="411" spans="1:4">
      <c r="A411" s="20">
        <v>45203</v>
      </c>
      <c r="B411" s="24">
        <v>20100</v>
      </c>
      <c r="C411" s="33">
        <v>1206</v>
      </c>
      <c r="D411" s="18" t="s">
        <v>2173</v>
      </c>
    </row>
    <row r="412" spans="1:4">
      <c r="B412" s="24">
        <v>20300</v>
      </c>
      <c r="C412" s="33">
        <v>1218</v>
      </c>
      <c r="D412" s="18" t="s">
        <v>2174</v>
      </c>
    </row>
    <row r="413" spans="1:4">
      <c r="C413" s="33">
        <v>243000</v>
      </c>
      <c r="D413" s="18" t="s">
        <v>2165</v>
      </c>
    </row>
    <row r="414" spans="1:4">
      <c r="C414" s="33">
        <v>36500</v>
      </c>
      <c r="D414" s="18" t="s">
        <v>2175</v>
      </c>
    </row>
    <row r="415" spans="1:4">
      <c r="A415" s="20">
        <v>45205</v>
      </c>
      <c r="C415" s="33">
        <v>30000</v>
      </c>
      <c r="D415" s="18" t="s">
        <v>2176</v>
      </c>
    </row>
    <row r="416" spans="1:4">
      <c r="B416" s="24">
        <v>30000</v>
      </c>
      <c r="D416" s="18" t="s">
        <v>2177</v>
      </c>
    </row>
    <row r="417" spans="1:4">
      <c r="C417" s="33">
        <v>5800</v>
      </c>
      <c r="D417" s="18" t="s">
        <v>2178</v>
      </c>
    </row>
    <row r="418" spans="1:4">
      <c r="C418" s="33">
        <v>7500</v>
      </c>
      <c r="D418" s="18" t="s">
        <v>2179</v>
      </c>
    </row>
    <row r="419" spans="1:4">
      <c r="B419" s="24">
        <v>6900</v>
      </c>
      <c r="C419" s="33">
        <v>414</v>
      </c>
      <c r="D419" s="43" t="s">
        <v>2180</v>
      </c>
    </row>
    <row r="420" spans="1:4">
      <c r="B420" s="24">
        <v>5000</v>
      </c>
      <c r="C420" s="33">
        <v>300</v>
      </c>
      <c r="D420" s="18" t="s">
        <v>2181</v>
      </c>
    </row>
    <row r="421" spans="1:4">
      <c r="A421" s="20">
        <v>45208</v>
      </c>
      <c r="C421" s="33">
        <v>850</v>
      </c>
      <c r="D421" s="18" t="s">
        <v>2182</v>
      </c>
    </row>
    <row r="422" spans="1:4">
      <c r="B422" s="24">
        <v>13800</v>
      </c>
      <c r="C422" s="33">
        <v>828</v>
      </c>
      <c r="D422" s="18" t="s">
        <v>2161</v>
      </c>
    </row>
    <row r="423" spans="1:4">
      <c r="B423" s="24">
        <v>16500</v>
      </c>
      <c r="C423" s="33">
        <v>990</v>
      </c>
      <c r="D423" s="18" t="s">
        <v>2192</v>
      </c>
    </row>
    <row r="424" spans="1:4">
      <c r="A424" s="20">
        <v>45209</v>
      </c>
      <c r="C424" s="33">
        <v>4000</v>
      </c>
      <c r="D424" s="18" t="s">
        <v>2183</v>
      </c>
    </row>
    <row r="425" spans="1:4">
      <c r="C425" s="33">
        <v>7000</v>
      </c>
      <c r="D425" s="18" t="s">
        <v>2184</v>
      </c>
    </row>
    <row r="426" spans="1:4">
      <c r="A426" s="20">
        <v>45210</v>
      </c>
      <c r="C426" s="33">
        <v>3500</v>
      </c>
      <c r="D426" s="18" t="s">
        <v>2185</v>
      </c>
    </row>
    <row r="427" spans="1:4">
      <c r="C427" s="33">
        <v>1200</v>
      </c>
      <c r="D427" s="18" t="s">
        <v>1997</v>
      </c>
    </row>
    <row r="428" spans="1:4">
      <c r="A428" s="20">
        <v>45211</v>
      </c>
      <c r="B428" s="24">
        <v>15000</v>
      </c>
      <c r="D428" s="18" t="s">
        <v>2186</v>
      </c>
    </row>
    <row r="429" spans="1:4">
      <c r="B429" s="24">
        <v>10000</v>
      </c>
      <c r="D429" s="18" t="s">
        <v>2187</v>
      </c>
    </row>
    <row r="430" spans="1:4">
      <c r="B430" s="24">
        <v>20300</v>
      </c>
      <c r="C430" s="33">
        <v>1218</v>
      </c>
      <c r="D430" s="18" t="s">
        <v>2191</v>
      </c>
    </row>
    <row r="431" spans="1:4">
      <c r="A431" s="20">
        <v>45214</v>
      </c>
      <c r="B431" s="24">
        <v>10000</v>
      </c>
      <c r="D431" s="18" t="s">
        <v>2188</v>
      </c>
    </row>
    <row r="432" spans="1:4">
      <c r="C432" s="33">
        <v>2500</v>
      </c>
      <c r="D432" s="18" t="s">
        <v>2189</v>
      </c>
    </row>
    <row r="433" spans="1:4">
      <c r="C433" s="33">
        <v>268000</v>
      </c>
      <c r="D433" s="18" t="s">
        <v>2197</v>
      </c>
    </row>
    <row r="434" spans="1:4">
      <c r="A434" s="20">
        <v>45215</v>
      </c>
      <c r="B434" s="24">
        <v>5000</v>
      </c>
      <c r="D434" s="18" t="s">
        <v>2190</v>
      </c>
    </row>
    <row r="435" spans="1:4">
      <c r="A435" s="20">
        <v>45217</v>
      </c>
      <c r="C435" s="33">
        <v>399</v>
      </c>
      <c r="D435" s="18" t="s">
        <v>2193</v>
      </c>
    </row>
    <row r="436" spans="1:4">
      <c r="C436" s="33">
        <v>341</v>
      </c>
      <c r="D436" s="18" t="s">
        <v>2194</v>
      </c>
    </row>
    <row r="437" spans="1:4">
      <c r="B437" s="24">
        <v>5000</v>
      </c>
      <c r="D437" s="18" t="s">
        <v>2195</v>
      </c>
    </row>
    <row r="438" spans="1:4">
      <c r="A438" s="20">
        <v>45218</v>
      </c>
      <c r="B438" s="24">
        <v>102600</v>
      </c>
      <c r="C438" s="33">
        <v>6156</v>
      </c>
      <c r="D438" s="18" t="s">
        <v>2196</v>
      </c>
    </row>
    <row r="439" spans="1:4">
      <c r="B439" s="24">
        <v>102600</v>
      </c>
      <c r="C439" s="33">
        <v>6156</v>
      </c>
      <c r="D439" s="43" t="s">
        <v>2196</v>
      </c>
    </row>
    <row r="440" spans="1:4">
      <c r="C440" s="33">
        <v>5000</v>
      </c>
      <c r="D440" s="43" t="s">
        <v>2198</v>
      </c>
    </row>
    <row r="441" spans="1:4">
      <c r="A441" s="20">
        <v>45219</v>
      </c>
      <c r="B441" s="24">
        <v>4000</v>
      </c>
      <c r="D441" s="43" t="s">
        <v>2199</v>
      </c>
    </row>
    <row r="442" spans="1:4">
      <c r="A442" s="20">
        <v>45222</v>
      </c>
      <c r="B442" s="24">
        <v>102600</v>
      </c>
      <c r="C442" s="33">
        <v>6156</v>
      </c>
      <c r="D442" s="43" t="s">
        <v>2196</v>
      </c>
    </row>
    <row r="443" spans="1:4">
      <c r="A443" s="20">
        <v>45223</v>
      </c>
      <c r="B443" s="24">
        <v>23850</v>
      </c>
      <c r="C443" s="33">
        <v>1431</v>
      </c>
      <c r="D443" s="43" t="s">
        <v>2200</v>
      </c>
    </row>
    <row r="444" spans="1:4">
      <c r="B444" s="24">
        <v>3300</v>
      </c>
      <c r="C444" s="33">
        <v>198</v>
      </c>
      <c r="D444" s="43" t="s">
        <v>2200</v>
      </c>
    </row>
    <row r="445" spans="1:4">
      <c r="A445" s="20">
        <v>45224</v>
      </c>
      <c r="C445" s="33">
        <v>17000</v>
      </c>
      <c r="D445" s="43" t="s">
        <v>2201</v>
      </c>
    </row>
    <row r="446" spans="1:4">
      <c r="A446" s="20">
        <v>45225</v>
      </c>
      <c r="B446" s="24">
        <v>322000</v>
      </c>
      <c r="C446" s="33">
        <v>19320</v>
      </c>
      <c r="D446" s="43" t="s">
        <v>2202</v>
      </c>
    </row>
    <row r="447" spans="1:4">
      <c r="B447" s="24">
        <v>8000</v>
      </c>
      <c r="D447" s="43" t="s">
        <v>2203</v>
      </c>
    </row>
    <row r="448" spans="1:4">
      <c r="B448" s="24">
        <v>17600</v>
      </c>
      <c r="C448" s="33">
        <v>1056</v>
      </c>
      <c r="D448" s="43" t="s">
        <v>2204</v>
      </c>
    </row>
    <row r="449" spans="1:4">
      <c r="A449" s="20">
        <v>45226</v>
      </c>
      <c r="C449" s="33">
        <v>4090</v>
      </c>
      <c r="D449" s="43" t="s">
        <v>2205</v>
      </c>
    </row>
    <row r="450" spans="1:4">
      <c r="B450" s="24">
        <v>25000</v>
      </c>
      <c r="D450" s="43" t="s">
        <v>2206</v>
      </c>
    </row>
    <row r="451" spans="1:4">
      <c r="A451" s="20">
        <v>45229</v>
      </c>
      <c r="B451" s="24">
        <v>55600</v>
      </c>
      <c r="C451" s="33">
        <v>3336</v>
      </c>
      <c r="D451" s="43" t="s">
        <v>2207</v>
      </c>
    </row>
    <row r="452" spans="1:4">
      <c r="A452" s="20">
        <v>45230</v>
      </c>
      <c r="C452" s="33">
        <v>34220</v>
      </c>
      <c r="D452" s="43" t="s">
        <v>2208</v>
      </c>
    </row>
    <row r="453" spans="1:4">
      <c r="A453" s="20">
        <v>45232</v>
      </c>
      <c r="C453" s="33">
        <v>10000</v>
      </c>
      <c r="D453" s="43" t="s">
        <v>2209</v>
      </c>
    </row>
    <row r="454" spans="1:4">
      <c r="B454" s="24">
        <v>350000</v>
      </c>
      <c r="C454" s="33">
        <v>21000</v>
      </c>
      <c r="D454" s="43" t="s">
        <v>2210</v>
      </c>
    </row>
    <row r="455" spans="1:4">
      <c r="C455" s="33">
        <v>4350</v>
      </c>
      <c r="D455" s="43" t="s">
        <v>1665</v>
      </c>
    </row>
    <row r="456" spans="1:4">
      <c r="C456" s="33">
        <v>38200</v>
      </c>
      <c r="D456" s="43" t="s">
        <v>2171</v>
      </c>
    </row>
    <row r="457" spans="1:4">
      <c r="A457" s="20">
        <v>45233</v>
      </c>
      <c r="B457" s="24">
        <v>30000</v>
      </c>
      <c r="D457" s="43" t="s">
        <v>2211</v>
      </c>
    </row>
    <row r="458" spans="1:4">
      <c r="C458" s="33">
        <v>13000</v>
      </c>
      <c r="D458" s="43" t="s">
        <v>2212</v>
      </c>
    </row>
    <row r="459" spans="1:4">
      <c r="C459" s="33">
        <v>268000</v>
      </c>
      <c r="D459" s="43" t="s">
        <v>2213</v>
      </c>
    </row>
    <row r="460" spans="1:4">
      <c r="A460" s="20">
        <v>45238</v>
      </c>
      <c r="B460" s="24">
        <v>21600</v>
      </c>
      <c r="C460" s="33">
        <v>1296</v>
      </c>
      <c r="D460" s="43" t="s">
        <v>2215</v>
      </c>
    </row>
    <row r="461" spans="1:4">
      <c r="C461" s="33">
        <v>2660</v>
      </c>
      <c r="D461" s="43" t="s">
        <v>2214</v>
      </c>
    </row>
    <row r="462" spans="1:4">
      <c r="A462" s="20">
        <v>45239</v>
      </c>
      <c r="B462" s="24">
        <v>40000</v>
      </c>
      <c r="D462" s="43" t="s">
        <v>2216</v>
      </c>
    </row>
    <row r="463" spans="1:4">
      <c r="B463" s="24">
        <v>49000</v>
      </c>
      <c r="C463" s="33">
        <v>2940</v>
      </c>
      <c r="D463" s="43" t="s">
        <v>2217</v>
      </c>
    </row>
    <row r="464" spans="1:4">
      <c r="A464" s="20">
        <v>45244</v>
      </c>
      <c r="C464" s="33">
        <v>600</v>
      </c>
      <c r="D464" s="43" t="s">
        <v>2218</v>
      </c>
    </row>
    <row r="465" spans="1:4">
      <c r="C465" s="33">
        <v>658</v>
      </c>
      <c r="D465" s="43" t="s">
        <v>1883</v>
      </c>
    </row>
    <row r="466" spans="1:4">
      <c r="C466" s="33">
        <v>3500</v>
      </c>
      <c r="D466" s="43" t="s">
        <v>2219</v>
      </c>
    </row>
    <row r="467" spans="1:4">
      <c r="C467" s="33">
        <v>8000</v>
      </c>
      <c r="D467" s="43" t="s">
        <v>2220</v>
      </c>
    </row>
    <row r="468" spans="1:4">
      <c r="B468" s="24">
        <v>103616</v>
      </c>
      <c r="C468" s="33">
        <v>6217</v>
      </c>
      <c r="D468" s="43" t="s">
        <v>2221</v>
      </c>
    </row>
    <row r="469" spans="1:4">
      <c r="A469" s="20">
        <v>45245</v>
      </c>
      <c r="B469" s="24">
        <v>7000</v>
      </c>
      <c r="D469" s="43" t="s">
        <v>2222</v>
      </c>
    </row>
    <row r="470" spans="1:4">
      <c r="B470" s="24">
        <v>190000</v>
      </c>
      <c r="D470" s="43" t="s">
        <v>2223</v>
      </c>
    </row>
    <row r="471" spans="1:4">
      <c r="C471" s="33">
        <v>3770</v>
      </c>
      <c r="D471" s="43" t="s">
        <v>2224</v>
      </c>
    </row>
    <row r="472" spans="1:4">
      <c r="A472" s="20">
        <v>45246</v>
      </c>
      <c r="B472" s="24">
        <v>51000</v>
      </c>
      <c r="C472" s="33">
        <v>3060</v>
      </c>
      <c r="D472" s="43" t="s">
        <v>2225</v>
      </c>
    </row>
    <row r="473" spans="1:4">
      <c r="B473" s="24">
        <v>32000</v>
      </c>
      <c r="D473" s="43" t="s">
        <v>2226</v>
      </c>
    </row>
    <row r="474" spans="1:4">
      <c r="B474" s="24">
        <v>30000</v>
      </c>
      <c r="C474" s="33">
        <v>1800</v>
      </c>
      <c r="D474" s="43" t="s">
        <v>2227</v>
      </c>
    </row>
    <row r="475" spans="1:4">
      <c r="A475" s="20">
        <v>45251</v>
      </c>
      <c r="C475" s="33">
        <v>8434</v>
      </c>
      <c r="D475" s="18" t="s">
        <v>2228</v>
      </c>
    </row>
    <row r="476" spans="1:4">
      <c r="C476" s="33">
        <v>4500</v>
      </c>
      <c r="D476" s="18" t="s">
        <v>2039</v>
      </c>
    </row>
    <row r="477" spans="1:4">
      <c r="C477" s="33">
        <v>650</v>
      </c>
      <c r="D477" s="18" t="s">
        <v>2039</v>
      </c>
    </row>
    <row r="478" spans="1:4">
      <c r="C478" s="33">
        <v>2400</v>
      </c>
      <c r="D478" s="18" t="s">
        <v>2229</v>
      </c>
    </row>
    <row r="479" spans="1:4">
      <c r="B479" s="24">
        <v>16500</v>
      </c>
      <c r="C479" s="33">
        <v>990</v>
      </c>
      <c r="D479" s="18" t="s">
        <v>2230</v>
      </c>
    </row>
    <row r="480" spans="1:4">
      <c r="A480" s="20">
        <v>45254</v>
      </c>
      <c r="C480" s="33">
        <v>504</v>
      </c>
      <c r="D480" s="18" t="s">
        <v>2231</v>
      </c>
    </row>
    <row r="481" spans="1:4">
      <c r="B481" s="24">
        <v>10000</v>
      </c>
      <c r="C481" s="33">
        <v>600</v>
      </c>
      <c r="D481" s="43" t="s">
        <v>2232</v>
      </c>
    </row>
    <row r="482" spans="1:4">
      <c r="B482" s="24">
        <v>250000</v>
      </c>
      <c r="C482" s="33">
        <v>15000</v>
      </c>
      <c r="D482" s="43" t="s">
        <v>2233</v>
      </c>
    </row>
    <row r="483" spans="1:4">
      <c r="B483" s="24">
        <v>55000</v>
      </c>
      <c r="C483" s="33">
        <v>3300</v>
      </c>
      <c r="D483" s="43" t="s">
        <v>2234</v>
      </c>
    </row>
    <row r="484" spans="1:4">
      <c r="C484" s="33">
        <v>100000</v>
      </c>
      <c r="D484" s="43" t="s">
        <v>2235</v>
      </c>
    </row>
    <row r="485" spans="1:4">
      <c r="B485" s="24">
        <v>24000</v>
      </c>
      <c r="C485" s="33">
        <v>1440</v>
      </c>
      <c r="D485" s="43" t="s">
        <v>2236</v>
      </c>
    </row>
    <row r="486" spans="1:4">
      <c r="B486" s="24">
        <v>26400</v>
      </c>
      <c r="C486" s="33">
        <v>1584</v>
      </c>
      <c r="D486" s="43" t="s">
        <v>2237</v>
      </c>
    </row>
    <row r="487" spans="1:4">
      <c r="C487" s="33">
        <v>18000</v>
      </c>
      <c r="D487" s="43" t="s">
        <v>2238</v>
      </c>
    </row>
    <row r="488" spans="1:4">
      <c r="B488" s="24">
        <v>7500</v>
      </c>
      <c r="D488" s="43" t="s">
        <v>2239</v>
      </c>
    </row>
    <row r="489" spans="1:4">
      <c r="B489" s="24">
        <v>6000</v>
      </c>
      <c r="D489" s="43" t="s">
        <v>2240</v>
      </c>
    </row>
    <row r="490" spans="1:4">
      <c r="C490" s="33">
        <v>10000</v>
      </c>
      <c r="D490" s="43" t="s">
        <v>2241</v>
      </c>
    </row>
    <row r="491" spans="1:4">
      <c r="C491" s="33">
        <v>20000</v>
      </c>
      <c r="D491" s="43" t="s">
        <v>2242</v>
      </c>
    </row>
    <row r="492" spans="1:4">
      <c r="A492" s="20">
        <v>45258</v>
      </c>
      <c r="B492" s="24">
        <v>90500</v>
      </c>
      <c r="C492" s="33">
        <v>5430</v>
      </c>
      <c r="D492" s="43" t="s">
        <v>2243</v>
      </c>
    </row>
    <row r="493" spans="1:4">
      <c r="C493" s="33">
        <v>27000</v>
      </c>
      <c r="D493" s="43" t="s">
        <v>2244</v>
      </c>
    </row>
    <row r="494" spans="1:4">
      <c r="C494" s="33">
        <v>1500</v>
      </c>
      <c r="D494" s="43" t="s">
        <v>89</v>
      </c>
    </row>
    <row r="495" spans="1:4">
      <c r="C495" s="33">
        <v>10000</v>
      </c>
      <c r="D495" s="43" t="s">
        <v>2245</v>
      </c>
    </row>
    <row r="496" spans="1:4">
      <c r="B496" s="24">
        <v>48000</v>
      </c>
      <c r="D496" s="43" t="s">
        <v>2246</v>
      </c>
    </row>
    <row r="497" spans="1:4">
      <c r="C497" s="33">
        <v>50000</v>
      </c>
      <c r="D497" s="43" t="s">
        <v>2247</v>
      </c>
    </row>
    <row r="498" spans="1:4">
      <c r="C498" s="33">
        <v>6000</v>
      </c>
      <c r="D498" s="43" t="s">
        <v>2248</v>
      </c>
    </row>
    <row r="499" spans="1:4">
      <c r="C499" s="33">
        <v>1500</v>
      </c>
      <c r="D499" s="43" t="s">
        <v>2249</v>
      </c>
    </row>
    <row r="500" spans="1:4">
      <c r="A500" s="20">
        <v>45259</v>
      </c>
      <c r="C500" s="33">
        <v>2300</v>
      </c>
      <c r="D500" s="43" t="s">
        <v>2250</v>
      </c>
    </row>
    <row r="501" spans="1:4">
      <c r="B501" s="24">
        <v>30000</v>
      </c>
      <c r="D501" s="43" t="s">
        <v>2251</v>
      </c>
    </row>
    <row r="502" spans="1:4">
      <c r="A502" s="20">
        <v>45260</v>
      </c>
      <c r="B502" s="24">
        <v>5000</v>
      </c>
      <c r="C502" s="33">
        <v>300</v>
      </c>
      <c r="D502" s="43" t="s">
        <v>2252</v>
      </c>
    </row>
    <row r="503" spans="1:4">
      <c r="B503" s="24">
        <v>13200</v>
      </c>
      <c r="C503" s="33">
        <v>792</v>
      </c>
      <c r="D503" s="43" t="s">
        <v>2253</v>
      </c>
    </row>
    <row r="504" spans="1:4">
      <c r="A504" s="20">
        <v>45262</v>
      </c>
      <c r="C504" s="33">
        <v>1716</v>
      </c>
      <c r="D504" s="43" t="s">
        <v>2254</v>
      </c>
    </row>
    <row r="505" spans="1:4">
      <c r="A505" s="20">
        <v>45265</v>
      </c>
      <c r="C505" s="33">
        <v>435000</v>
      </c>
      <c r="D505" s="43" t="s">
        <v>2255</v>
      </c>
    </row>
    <row r="506" spans="1:4">
      <c r="C506" s="33">
        <v>38200</v>
      </c>
      <c r="D506" s="43" t="s">
        <v>1718</v>
      </c>
    </row>
    <row r="507" spans="1:4">
      <c r="B507" s="24">
        <v>102600</v>
      </c>
      <c r="C507" s="33">
        <v>6156</v>
      </c>
      <c r="D507" s="43" t="s">
        <v>2196</v>
      </c>
    </row>
    <row r="508" spans="1:4">
      <c r="B508" s="24">
        <v>259500</v>
      </c>
      <c r="C508" s="33">
        <v>15570</v>
      </c>
      <c r="D508" s="43" t="s">
        <v>2196</v>
      </c>
    </row>
    <row r="509" spans="1:4">
      <c r="B509" s="24">
        <v>344400</v>
      </c>
      <c r="C509" s="33">
        <v>20664</v>
      </c>
      <c r="D509" s="43" t="s">
        <v>2196</v>
      </c>
    </row>
    <row r="510" spans="1:4">
      <c r="B510" s="24">
        <v>102600</v>
      </c>
      <c r="C510" s="33">
        <v>6156</v>
      </c>
      <c r="D510" s="43" t="s">
        <v>2196</v>
      </c>
    </row>
    <row r="511" spans="1:4">
      <c r="C511" s="33">
        <v>6671.52</v>
      </c>
      <c r="D511" s="43" t="s">
        <v>1554</v>
      </c>
    </row>
    <row r="512" spans="1:4">
      <c r="A512" s="20">
        <v>45272</v>
      </c>
      <c r="C512" s="33">
        <v>15000</v>
      </c>
      <c r="D512" s="43" t="s">
        <v>55</v>
      </c>
    </row>
    <row r="513" spans="1:4">
      <c r="B513" s="24">
        <v>50000</v>
      </c>
      <c r="D513" s="43" t="s">
        <v>2256</v>
      </c>
    </row>
    <row r="514" spans="1:4">
      <c r="B514" s="24">
        <v>31000</v>
      </c>
      <c r="D514" s="43" t="s">
        <v>2257</v>
      </c>
    </row>
    <row r="515" spans="1:4">
      <c r="B515" s="24">
        <v>49000</v>
      </c>
      <c r="C515" s="33">
        <v>2940</v>
      </c>
      <c r="D515" s="43" t="s">
        <v>2258</v>
      </c>
    </row>
    <row r="516" spans="1:4">
      <c r="A516" s="20">
        <v>45274</v>
      </c>
      <c r="C516" s="33">
        <v>9800</v>
      </c>
      <c r="D516" s="43" t="s">
        <v>2259</v>
      </c>
    </row>
    <row r="517" spans="1:4">
      <c r="C517" s="33">
        <v>9800</v>
      </c>
      <c r="D517" s="43" t="s">
        <v>2260</v>
      </c>
    </row>
    <row r="518" spans="1:4">
      <c r="C518" s="33">
        <v>4500</v>
      </c>
      <c r="D518" s="43" t="s">
        <v>1875</v>
      </c>
    </row>
    <row r="519" spans="1:4">
      <c r="C519" s="33">
        <v>11780</v>
      </c>
      <c r="D519" s="43" t="s">
        <v>2261</v>
      </c>
    </row>
    <row r="520" spans="1:4">
      <c r="C520" s="33">
        <v>1000</v>
      </c>
      <c r="D520" s="43" t="s">
        <v>2262</v>
      </c>
    </row>
    <row r="521" spans="1:4">
      <c r="C521" s="33">
        <v>500</v>
      </c>
      <c r="D521" s="43" t="s">
        <v>1812</v>
      </c>
    </row>
    <row r="522" spans="1:4">
      <c r="C522" s="33">
        <v>2000</v>
      </c>
      <c r="D522" s="43" t="s">
        <v>2263</v>
      </c>
    </row>
    <row r="523" spans="1:4">
      <c r="A523" s="20">
        <v>45275</v>
      </c>
      <c r="C523" s="33">
        <v>6000</v>
      </c>
      <c r="D523" s="43" t="s">
        <v>2264</v>
      </c>
    </row>
    <row r="524" spans="1:4">
      <c r="B524" s="24">
        <v>1950000</v>
      </c>
      <c r="C524" s="33">
        <v>117000</v>
      </c>
      <c r="D524" s="43" t="s">
        <v>2265</v>
      </c>
    </row>
    <row r="525" spans="1:4">
      <c r="C525" s="33">
        <v>10600</v>
      </c>
      <c r="D525" s="43" t="s">
        <v>2266</v>
      </c>
    </row>
    <row r="526" spans="1:4">
      <c r="B526" s="24">
        <v>110000</v>
      </c>
      <c r="D526" s="43" t="s">
        <v>2267</v>
      </c>
    </row>
    <row r="527" spans="1:4">
      <c r="A527" s="20">
        <v>45279</v>
      </c>
      <c r="B527" s="24">
        <v>20000</v>
      </c>
      <c r="D527" s="43" t="s">
        <v>2268</v>
      </c>
    </row>
    <row r="528" spans="1:4">
      <c r="C528" s="33">
        <v>705000</v>
      </c>
      <c r="D528" s="43" t="s">
        <v>2092</v>
      </c>
    </row>
    <row r="529" spans="1:9">
      <c r="C529" s="33">
        <v>75000</v>
      </c>
      <c r="D529" s="43" t="s">
        <v>2269</v>
      </c>
    </row>
    <row r="530" spans="1:9">
      <c r="C530" s="33">
        <v>12200</v>
      </c>
      <c r="D530" s="43" t="s">
        <v>1741</v>
      </c>
    </row>
    <row r="531" spans="1:9">
      <c r="A531" s="20">
        <v>45280</v>
      </c>
      <c r="B531" s="24">
        <v>35000</v>
      </c>
      <c r="D531" s="43" t="s">
        <v>2270</v>
      </c>
    </row>
    <row r="532" spans="1:9">
      <c r="B532" s="24">
        <v>2000</v>
      </c>
      <c r="D532" s="43" t="s">
        <v>2271</v>
      </c>
    </row>
    <row r="533" spans="1:9">
      <c r="C533" s="33">
        <v>30000</v>
      </c>
      <c r="D533" s="43" t="s">
        <v>2272</v>
      </c>
    </row>
    <row r="534" spans="1:9">
      <c r="A534" s="20">
        <v>45281</v>
      </c>
      <c r="C534" s="33">
        <v>2662</v>
      </c>
      <c r="D534" s="43" t="s">
        <v>2273</v>
      </c>
    </row>
    <row r="535" spans="1:9">
      <c r="C535" s="33">
        <v>30866.1</v>
      </c>
      <c r="D535" s="43" t="s">
        <v>2274</v>
      </c>
    </row>
    <row r="536" spans="1:9">
      <c r="C536" s="33">
        <v>6651.38</v>
      </c>
      <c r="D536" s="43" t="s">
        <v>2275</v>
      </c>
    </row>
    <row r="537" spans="1:9">
      <c r="A537" s="20">
        <v>45284</v>
      </c>
      <c r="C537" s="33">
        <v>14000</v>
      </c>
      <c r="D537" s="43" t="s">
        <v>2276</v>
      </c>
    </row>
    <row r="538" spans="1:9">
      <c r="C538" s="33">
        <v>6000</v>
      </c>
      <c r="D538" s="43" t="s">
        <v>2277</v>
      </c>
    </row>
    <row r="539" spans="1:9">
      <c r="C539" s="33">
        <v>3000</v>
      </c>
      <c r="D539" s="43" t="s">
        <v>1386</v>
      </c>
    </row>
    <row r="540" spans="1:9">
      <c r="A540" s="20">
        <v>45286</v>
      </c>
      <c r="C540" s="33">
        <v>1900</v>
      </c>
      <c r="D540" s="43" t="s">
        <v>2278</v>
      </c>
    </row>
    <row r="541" spans="1:9">
      <c r="B541" s="24">
        <v>10000</v>
      </c>
      <c r="D541" s="43" t="s">
        <v>2279</v>
      </c>
      <c r="I541" s="98" t="s">
        <v>2280</v>
      </c>
    </row>
    <row r="542" spans="1:9">
      <c r="B542" s="24">
        <v>3300</v>
      </c>
      <c r="C542" s="33">
        <v>198</v>
      </c>
      <c r="D542" s="43" t="s">
        <v>2281</v>
      </c>
      <c r="I542" s="98" t="s">
        <v>2280</v>
      </c>
    </row>
    <row r="543" spans="1:9">
      <c r="A543" s="20">
        <v>45287</v>
      </c>
      <c r="B543" s="24">
        <v>20000</v>
      </c>
      <c r="C543" s="33">
        <v>1200</v>
      </c>
      <c r="D543" s="43" t="s">
        <v>2282</v>
      </c>
    </row>
    <row r="544" spans="1:9">
      <c r="C544" s="33">
        <v>1680</v>
      </c>
      <c r="D544" s="43" t="s">
        <v>2283</v>
      </c>
    </row>
    <row r="545" spans="1:4">
      <c r="C545" s="33">
        <v>16610</v>
      </c>
      <c r="D545" s="43" t="s">
        <v>1952</v>
      </c>
    </row>
    <row r="546" spans="1:4">
      <c r="A546" s="20">
        <v>45288</v>
      </c>
      <c r="B546" s="24">
        <v>49000</v>
      </c>
      <c r="C546" s="33">
        <v>2940</v>
      </c>
      <c r="D546" s="43" t="s">
        <v>2284</v>
      </c>
    </row>
    <row r="547" spans="1:4">
      <c r="A547" s="20">
        <v>45289</v>
      </c>
      <c r="B547" s="24">
        <v>15000</v>
      </c>
      <c r="C547" s="33">
        <v>900</v>
      </c>
      <c r="D547" s="43" t="s">
        <v>2285</v>
      </c>
    </row>
    <row r="548" spans="1:4">
      <c r="B548" s="24">
        <v>140000</v>
      </c>
      <c r="C548" s="33">
        <v>8400</v>
      </c>
      <c r="D548" s="43" t="s">
        <v>2286</v>
      </c>
    </row>
    <row r="549" spans="1:4">
      <c r="B549" s="24">
        <v>15000</v>
      </c>
      <c r="C549" s="33">
        <v>900</v>
      </c>
      <c r="D549" s="43" t="s">
        <v>2287</v>
      </c>
    </row>
    <row r="655" spans="4:4">
      <c r="D655" s="18"/>
    </row>
    <row r="722" spans="1:4" ht="13.5" thickBot="1"/>
    <row r="723" spans="1:4" ht="15.75" thickBot="1">
      <c r="A723" s="91"/>
      <c r="B723" s="92"/>
      <c r="C723" s="93"/>
      <c r="D723" s="94"/>
    </row>
    <row r="724" spans="1:4" ht="15.75" thickBot="1">
      <c r="A724" s="91"/>
      <c r="B724" s="92"/>
      <c r="C724" s="93"/>
      <c r="D724" s="94"/>
    </row>
    <row r="725" spans="1:4" ht="15.75" thickBot="1">
      <c r="A725" s="91"/>
      <c r="B725" s="92"/>
      <c r="C725" s="93"/>
      <c r="D725" s="94"/>
    </row>
    <row r="726" spans="1:4" ht="15.75" thickBot="1">
      <c r="A726" s="91"/>
      <c r="B726" s="92"/>
      <c r="C726" s="93"/>
      <c r="D726" s="94"/>
    </row>
    <row r="727" spans="1:4" ht="15.75" thickBot="1">
      <c r="A727" s="91"/>
      <c r="B727" s="92"/>
      <c r="C727" s="93"/>
      <c r="D727" s="94"/>
    </row>
    <row r="728" spans="1:4" ht="15.75" thickBot="1">
      <c r="A728" s="91"/>
      <c r="B728" s="92"/>
      <c r="C728" s="93"/>
      <c r="D728" s="94"/>
    </row>
    <row r="729" spans="1:4" ht="15.75" thickBot="1">
      <c r="A729" s="91"/>
      <c r="B729" s="92"/>
      <c r="C729" s="93"/>
      <c r="D729" s="94"/>
    </row>
    <row r="730" spans="1:4" ht="15.75" thickBot="1">
      <c r="A730" s="91"/>
      <c r="B730" s="92"/>
      <c r="C730" s="93"/>
      <c r="D730" s="94"/>
    </row>
    <row r="731" spans="1:4" ht="15.75" thickBot="1">
      <c r="A731" s="91"/>
      <c r="B731" s="92"/>
      <c r="C731" s="93"/>
      <c r="D731" s="94"/>
    </row>
    <row r="732" spans="1:4" ht="15.75" thickBot="1">
      <c r="A732" s="91"/>
      <c r="B732" s="92"/>
      <c r="C732" s="93"/>
      <c r="D732" s="94"/>
    </row>
    <row r="733" spans="1:4" ht="15.75" thickBot="1">
      <c r="A733" s="91"/>
      <c r="B733" s="92"/>
      <c r="C733" s="93"/>
      <c r="D733" s="94"/>
    </row>
    <row r="734" spans="1:4" ht="15.75" thickBot="1">
      <c r="A734" s="91"/>
      <c r="B734" s="92"/>
      <c r="C734" s="93"/>
      <c r="D734" s="94"/>
    </row>
    <row r="735" spans="1:4" ht="15.75" thickBot="1">
      <c r="A735" s="91"/>
      <c r="B735" s="92"/>
      <c r="C735" s="93"/>
      <c r="D735" s="94"/>
    </row>
    <row r="736" spans="1:4" ht="15.75" thickBot="1">
      <c r="A736" s="91"/>
      <c r="B736" s="92"/>
      <c r="C736" s="93"/>
      <c r="D736" s="94"/>
    </row>
    <row r="737" spans="1:4" ht="15.75" thickBot="1">
      <c r="A737" s="91"/>
      <c r="B737" s="92"/>
      <c r="C737" s="93"/>
      <c r="D737" s="94"/>
    </row>
    <row r="738" spans="1:4" ht="15.75" thickBot="1">
      <c r="A738" s="91"/>
      <c r="B738" s="92"/>
      <c r="C738" s="93"/>
      <c r="D738" s="94"/>
    </row>
  </sheetData>
  <mergeCells count="4">
    <mergeCell ref="F1:H1"/>
    <mergeCell ref="F2:H2"/>
    <mergeCell ref="B3:C3"/>
    <mergeCell ref="G3:H3"/>
  </mergeCells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3C6FD-D0B3-475B-BCC2-C357268B2515}">
  <sheetPr>
    <tabColor indexed="17"/>
  </sheetPr>
  <dimension ref="A1:H1852"/>
  <sheetViews>
    <sheetView zoomScale="110" zoomScaleNormal="110" workbookViewId="0">
      <pane ySplit="3" topLeftCell="A300" activePane="bottomLeft" state="frozen"/>
      <selection pane="bottomLeft" activeCell="D297" sqref="D297"/>
    </sheetView>
  </sheetViews>
  <sheetFormatPr defaultRowHeight="12.75"/>
  <cols>
    <col min="1" max="1" width="16.85546875" style="20" customWidth="1"/>
    <col min="2" max="2" width="16.85546875" style="24" customWidth="1"/>
    <col min="3" max="3" width="16.85546875" style="33" customWidth="1"/>
    <col min="4" max="4" width="107.7109375" style="43" customWidth="1"/>
    <col min="5" max="5" width="12.42578125" style="3" customWidth="1"/>
    <col min="6" max="6" width="13.85546875" customWidth="1"/>
  </cols>
  <sheetData>
    <row r="1" spans="1:8" s="2" customFormat="1" ht="24" customHeight="1">
      <c r="A1" s="17" t="s">
        <v>0</v>
      </c>
      <c r="B1" s="1" t="s">
        <v>1</v>
      </c>
      <c r="C1" s="22" t="s">
        <v>2</v>
      </c>
      <c r="D1" s="41" t="s">
        <v>3</v>
      </c>
      <c r="E1" s="61">
        <v>365</v>
      </c>
      <c r="F1" s="105" t="s">
        <v>272</v>
      </c>
      <c r="G1" s="105"/>
      <c r="H1" s="105"/>
    </row>
    <row r="2" spans="1:8" s="2" customFormat="1" ht="24" customHeight="1">
      <c r="A2" s="19"/>
      <c r="B2" s="23">
        <f>SUM(B4:B2152)</f>
        <v>10224883.649999999</v>
      </c>
      <c r="C2" s="32">
        <f>SUM(C4:C2152)</f>
        <v>6327440.5</v>
      </c>
      <c r="D2" s="42"/>
      <c r="E2" s="62">
        <f>B3/E1</f>
        <v>10677.92643835616</v>
      </c>
      <c r="F2" s="106" t="s">
        <v>274</v>
      </c>
      <c r="G2" s="106"/>
      <c r="H2" s="106"/>
    </row>
    <row r="3" spans="1:8" s="2" customFormat="1" ht="24" customHeight="1">
      <c r="A3" s="19" t="s">
        <v>4</v>
      </c>
      <c r="B3" s="107">
        <f>B2-C2</f>
        <v>3897443.1499999985</v>
      </c>
      <c r="C3" s="107"/>
      <c r="D3" s="42"/>
      <c r="E3" s="62">
        <f>E2/8</f>
        <v>1334.74080479452</v>
      </c>
      <c r="F3" s="62">
        <f>E3*160</f>
        <v>213558.52876712321</v>
      </c>
      <c r="G3" s="105" t="s">
        <v>273</v>
      </c>
      <c r="H3" s="105"/>
    </row>
    <row r="4" spans="1:8">
      <c r="A4" s="20">
        <v>44564</v>
      </c>
      <c r="B4" s="26"/>
      <c r="C4" s="33">
        <v>10000</v>
      </c>
      <c r="D4" s="18" t="s">
        <v>1280</v>
      </c>
    </row>
    <row r="5" spans="1:8">
      <c r="A5" s="20">
        <v>44567</v>
      </c>
      <c r="B5" s="26"/>
      <c r="C5" s="33">
        <v>2000</v>
      </c>
      <c r="D5" s="18" t="s">
        <v>1281</v>
      </c>
    </row>
    <row r="6" spans="1:8">
      <c r="B6" s="26"/>
      <c r="C6" s="33">
        <v>2000</v>
      </c>
      <c r="D6" s="18" t="s">
        <v>1282</v>
      </c>
    </row>
    <row r="7" spans="1:8">
      <c r="B7" s="26">
        <v>6000</v>
      </c>
      <c r="D7" s="18" t="s">
        <v>1283</v>
      </c>
    </row>
    <row r="8" spans="1:8">
      <c r="A8" s="20">
        <v>44206</v>
      </c>
      <c r="B8" s="26"/>
      <c r="C8" s="33">
        <v>600</v>
      </c>
      <c r="D8" s="18" t="s">
        <v>1284</v>
      </c>
    </row>
    <row r="9" spans="1:8">
      <c r="B9" s="26"/>
      <c r="C9" s="33">
        <v>6000</v>
      </c>
      <c r="D9" s="18" t="s">
        <v>1285</v>
      </c>
    </row>
    <row r="10" spans="1:8">
      <c r="B10" s="26"/>
      <c r="C10" s="33">
        <v>2000</v>
      </c>
      <c r="D10" s="18" t="s">
        <v>1286</v>
      </c>
    </row>
    <row r="11" spans="1:8">
      <c r="A11" s="20">
        <v>44207</v>
      </c>
      <c r="B11" s="26">
        <v>20500</v>
      </c>
      <c r="D11" s="18" t="s">
        <v>1287</v>
      </c>
    </row>
    <row r="12" spans="1:8">
      <c r="A12" s="20">
        <v>44208</v>
      </c>
      <c r="B12" s="26">
        <v>10000</v>
      </c>
      <c r="D12" s="18" t="s">
        <v>1288</v>
      </c>
    </row>
    <row r="13" spans="1:8">
      <c r="B13" s="26">
        <v>2000</v>
      </c>
      <c r="D13" s="18" t="s">
        <v>1289</v>
      </c>
    </row>
    <row r="14" spans="1:8">
      <c r="A14" s="20">
        <v>44209</v>
      </c>
      <c r="B14" s="24">
        <v>2000</v>
      </c>
      <c r="D14" s="43" t="s">
        <v>1290</v>
      </c>
    </row>
    <row r="15" spans="1:8">
      <c r="B15" s="24">
        <v>20000</v>
      </c>
      <c r="D15" s="43" t="s">
        <v>1291</v>
      </c>
    </row>
    <row r="16" spans="1:8">
      <c r="C16" s="33">
        <v>40386</v>
      </c>
      <c r="D16" s="43" t="s">
        <v>1292</v>
      </c>
    </row>
    <row r="17" spans="1:4">
      <c r="C17" s="33">
        <v>2460</v>
      </c>
      <c r="D17" s="43" t="s">
        <v>1293</v>
      </c>
    </row>
    <row r="18" spans="1:4">
      <c r="A18" s="20">
        <v>44575</v>
      </c>
      <c r="B18" s="24">
        <v>3000</v>
      </c>
      <c r="D18" s="43" t="s">
        <v>1294</v>
      </c>
    </row>
    <row r="19" spans="1:4">
      <c r="B19" s="24">
        <v>20000</v>
      </c>
      <c r="D19" s="43" t="s">
        <v>1295</v>
      </c>
    </row>
    <row r="20" spans="1:4">
      <c r="C20" s="33">
        <v>1600</v>
      </c>
      <c r="D20" s="43" t="s">
        <v>1296</v>
      </c>
    </row>
    <row r="21" spans="1:4">
      <c r="A21" s="20">
        <v>44576</v>
      </c>
      <c r="C21" s="33">
        <v>6500</v>
      </c>
      <c r="D21" s="43" t="s">
        <v>1297</v>
      </c>
    </row>
    <row r="22" spans="1:4">
      <c r="C22" s="33">
        <v>6000</v>
      </c>
      <c r="D22" s="43" t="s">
        <v>1298</v>
      </c>
    </row>
    <row r="23" spans="1:4">
      <c r="A23" s="20">
        <v>44580</v>
      </c>
      <c r="C23" s="33">
        <v>558</v>
      </c>
      <c r="D23" s="43" t="s">
        <v>1299</v>
      </c>
    </row>
    <row r="24" spans="1:4">
      <c r="C24" s="33">
        <v>57</v>
      </c>
      <c r="D24" s="43" t="s">
        <v>536</v>
      </c>
    </row>
    <row r="25" spans="1:4">
      <c r="C25" s="33">
        <v>7777</v>
      </c>
      <c r="D25" s="43" t="s">
        <v>1300</v>
      </c>
    </row>
    <row r="26" spans="1:4">
      <c r="A26" s="20">
        <v>44581</v>
      </c>
      <c r="C26" s="33">
        <v>2440</v>
      </c>
      <c r="D26" s="43" t="s">
        <v>1301</v>
      </c>
    </row>
    <row r="27" spans="1:4">
      <c r="C27" s="33">
        <v>700</v>
      </c>
      <c r="D27" s="43" t="s">
        <v>1302</v>
      </c>
    </row>
    <row r="28" spans="1:4">
      <c r="A28" s="20">
        <v>44582</v>
      </c>
      <c r="B28" s="24">
        <v>1600</v>
      </c>
      <c r="D28" s="43" t="s">
        <v>1303</v>
      </c>
    </row>
    <row r="29" spans="1:4">
      <c r="C29" s="33">
        <v>7500</v>
      </c>
      <c r="D29" s="43" t="s">
        <v>1306</v>
      </c>
    </row>
    <row r="30" spans="1:4">
      <c r="B30" s="24">
        <v>66000</v>
      </c>
      <c r="D30" s="43" t="s">
        <v>1304</v>
      </c>
    </row>
    <row r="31" spans="1:4">
      <c r="A31" s="20">
        <v>44584</v>
      </c>
      <c r="B31" s="24">
        <v>8000</v>
      </c>
      <c r="D31" s="43" t="s">
        <v>1305</v>
      </c>
    </row>
    <row r="32" spans="1:4">
      <c r="B32" s="24">
        <v>1600</v>
      </c>
      <c r="D32" s="43" t="s">
        <v>1307</v>
      </c>
    </row>
    <row r="33" spans="1:4">
      <c r="B33" s="24">
        <v>2200</v>
      </c>
      <c r="D33" s="43" t="s">
        <v>1308</v>
      </c>
    </row>
    <row r="34" spans="1:4">
      <c r="C34" s="33">
        <v>132</v>
      </c>
      <c r="D34" s="43" t="s">
        <v>990</v>
      </c>
    </row>
    <row r="35" spans="1:4">
      <c r="B35" s="24">
        <v>1600</v>
      </c>
      <c r="D35" s="43" t="s">
        <v>1309</v>
      </c>
    </row>
    <row r="36" spans="1:4">
      <c r="A36" s="20">
        <v>44588</v>
      </c>
      <c r="C36" s="33">
        <v>3570</v>
      </c>
      <c r="D36" s="43" t="s">
        <v>1310</v>
      </c>
    </row>
    <row r="37" spans="1:4">
      <c r="C37" s="33">
        <v>170</v>
      </c>
      <c r="D37" s="43" t="s">
        <v>1311</v>
      </c>
    </row>
    <row r="38" spans="1:4">
      <c r="A38" s="20">
        <v>44589</v>
      </c>
      <c r="B38" s="24">
        <v>40000</v>
      </c>
      <c r="D38" s="43" t="s">
        <v>1312</v>
      </c>
    </row>
    <row r="39" spans="1:4">
      <c r="A39" s="20">
        <v>44590</v>
      </c>
      <c r="B39" s="24">
        <v>25000</v>
      </c>
      <c r="D39" s="43" t="s">
        <v>1313</v>
      </c>
    </row>
    <row r="40" spans="1:4">
      <c r="A40" s="20">
        <v>44591</v>
      </c>
      <c r="C40" s="33">
        <v>8500</v>
      </c>
      <c r="D40" s="43" t="s">
        <v>1314</v>
      </c>
    </row>
    <row r="41" spans="1:4">
      <c r="A41" s="20">
        <v>44593</v>
      </c>
      <c r="C41" s="33">
        <v>20000</v>
      </c>
      <c r="D41" s="43" t="s">
        <v>1315</v>
      </c>
    </row>
    <row r="42" spans="1:4">
      <c r="A42" s="20">
        <v>44594</v>
      </c>
      <c r="C42" s="33">
        <v>7500</v>
      </c>
      <c r="D42" s="43" t="s">
        <v>1316</v>
      </c>
    </row>
    <row r="43" spans="1:4">
      <c r="B43" s="24">
        <v>2000</v>
      </c>
      <c r="D43" s="43" t="s">
        <v>1317</v>
      </c>
    </row>
    <row r="44" spans="1:4">
      <c r="B44" s="24">
        <v>2000</v>
      </c>
      <c r="D44" s="43" t="s">
        <v>1318</v>
      </c>
    </row>
    <row r="45" spans="1:4">
      <c r="C45" s="33">
        <v>5334</v>
      </c>
      <c r="D45" s="43" t="s">
        <v>1326</v>
      </c>
    </row>
    <row r="46" spans="1:4">
      <c r="C46" s="33">
        <v>6000</v>
      </c>
      <c r="D46" s="43" t="s">
        <v>1325</v>
      </c>
    </row>
    <row r="47" spans="1:4">
      <c r="A47" s="20">
        <v>44600</v>
      </c>
      <c r="B47" s="24">
        <v>14000</v>
      </c>
      <c r="D47" s="43" t="s">
        <v>1319</v>
      </c>
    </row>
    <row r="48" spans="1:4">
      <c r="A48" s="20">
        <v>44601</v>
      </c>
      <c r="C48" s="33">
        <v>1400</v>
      </c>
      <c r="D48" s="43" t="s">
        <v>1320</v>
      </c>
    </row>
    <row r="49" spans="1:4">
      <c r="B49" s="24">
        <v>3000</v>
      </c>
      <c r="D49" s="43" t="s">
        <v>1321</v>
      </c>
    </row>
    <row r="50" spans="1:4">
      <c r="B50" s="24">
        <v>2000</v>
      </c>
      <c r="D50" s="43" t="s">
        <v>1322</v>
      </c>
    </row>
    <row r="51" spans="1:4">
      <c r="B51" s="24">
        <v>20000</v>
      </c>
      <c r="D51" s="43" t="s">
        <v>1323</v>
      </c>
    </row>
    <row r="52" spans="1:4">
      <c r="C52" s="33">
        <v>39500</v>
      </c>
      <c r="D52" s="43" t="s">
        <v>1331</v>
      </c>
    </row>
    <row r="53" spans="1:4">
      <c r="C53" s="33">
        <v>4800</v>
      </c>
      <c r="D53" s="43" t="s">
        <v>1324</v>
      </c>
    </row>
    <row r="54" spans="1:4">
      <c r="A54" s="20">
        <v>44603</v>
      </c>
      <c r="B54" s="24">
        <v>5000</v>
      </c>
      <c r="D54" s="43" t="s">
        <v>1327</v>
      </c>
    </row>
    <row r="55" spans="1:4">
      <c r="C55" s="33">
        <v>380</v>
      </c>
      <c r="D55" s="43" t="s">
        <v>990</v>
      </c>
    </row>
    <row r="56" spans="1:4">
      <c r="C56" s="33">
        <v>740</v>
      </c>
      <c r="D56" s="43" t="s">
        <v>1328</v>
      </c>
    </row>
    <row r="57" spans="1:4">
      <c r="C57" s="33">
        <v>600</v>
      </c>
      <c r="D57" s="43" t="s">
        <v>1329</v>
      </c>
    </row>
    <row r="58" spans="1:4">
      <c r="C58" s="33">
        <v>1000</v>
      </c>
      <c r="D58" s="43" t="s">
        <v>1332</v>
      </c>
    </row>
    <row r="59" spans="1:4">
      <c r="B59" s="24">
        <v>16000</v>
      </c>
      <c r="D59" s="43" t="s">
        <v>1330</v>
      </c>
    </row>
    <row r="60" spans="1:4">
      <c r="B60" s="24">
        <v>21000</v>
      </c>
      <c r="D60" s="43" t="s">
        <v>1333</v>
      </c>
    </row>
    <row r="61" spans="1:4">
      <c r="C61" s="33">
        <v>1260</v>
      </c>
      <c r="D61" s="43" t="s">
        <v>990</v>
      </c>
    </row>
    <row r="62" spans="1:4">
      <c r="A62" s="20">
        <v>44606</v>
      </c>
      <c r="B62" s="24">
        <v>19000</v>
      </c>
      <c r="D62" s="43" t="s">
        <v>1334</v>
      </c>
    </row>
    <row r="63" spans="1:4">
      <c r="C63" s="33">
        <v>4800</v>
      </c>
      <c r="D63" s="43" t="s">
        <v>1335</v>
      </c>
    </row>
    <row r="64" spans="1:4">
      <c r="C64" s="33">
        <v>650</v>
      </c>
      <c r="D64" s="43" t="s">
        <v>1336</v>
      </c>
    </row>
    <row r="65" spans="1:4">
      <c r="A65" s="20">
        <v>44612</v>
      </c>
      <c r="B65" s="24">
        <v>2000</v>
      </c>
      <c r="D65" s="43" t="s">
        <v>1337</v>
      </c>
    </row>
    <row r="66" spans="1:4">
      <c r="A66" s="20">
        <v>44613</v>
      </c>
      <c r="B66" s="24">
        <v>2500</v>
      </c>
      <c r="D66" s="43" t="s">
        <v>1338</v>
      </c>
    </row>
    <row r="67" spans="1:4">
      <c r="C67" s="33">
        <v>2800</v>
      </c>
      <c r="D67" s="43" t="s">
        <v>1339</v>
      </c>
    </row>
    <row r="68" spans="1:4">
      <c r="A68" s="20">
        <v>44614</v>
      </c>
      <c r="B68" s="24">
        <v>15000</v>
      </c>
      <c r="D68" s="43" t="s">
        <v>1340</v>
      </c>
    </row>
    <row r="69" spans="1:4">
      <c r="A69" s="20">
        <v>44615</v>
      </c>
      <c r="B69" s="24">
        <v>5000</v>
      </c>
      <c r="D69" s="43" t="s">
        <v>1341</v>
      </c>
    </row>
    <row r="70" spans="1:4">
      <c r="A70" s="20">
        <v>44617</v>
      </c>
      <c r="B70" s="24">
        <v>8250</v>
      </c>
      <c r="D70" s="43" t="s">
        <v>1342</v>
      </c>
    </row>
    <row r="71" spans="1:4">
      <c r="C71" s="33">
        <v>495</v>
      </c>
      <c r="D71" s="43" t="s">
        <v>1343</v>
      </c>
    </row>
    <row r="72" spans="1:4">
      <c r="B72" s="24">
        <v>30000</v>
      </c>
      <c r="D72" s="43" t="s">
        <v>1344</v>
      </c>
    </row>
    <row r="73" spans="1:4">
      <c r="B73" s="24">
        <v>150000</v>
      </c>
      <c r="D73" s="43" t="s">
        <v>1345</v>
      </c>
    </row>
    <row r="74" spans="1:4">
      <c r="C74" s="33">
        <v>9000</v>
      </c>
      <c r="D74" s="43" t="s">
        <v>990</v>
      </c>
    </row>
    <row r="75" spans="1:4">
      <c r="A75" s="20">
        <v>44619</v>
      </c>
      <c r="B75" s="24">
        <v>1500</v>
      </c>
      <c r="D75" s="84" t="s">
        <v>1346</v>
      </c>
    </row>
    <row r="76" spans="1:4">
      <c r="B76" s="24">
        <v>1600</v>
      </c>
      <c r="D76" s="43" t="s">
        <v>1347</v>
      </c>
    </row>
    <row r="77" spans="1:4">
      <c r="A77" s="20">
        <v>44620</v>
      </c>
      <c r="C77" s="33">
        <v>25000</v>
      </c>
      <c r="D77" s="43" t="s">
        <v>1348</v>
      </c>
    </row>
    <row r="78" spans="1:4">
      <c r="A78" s="20">
        <v>44621</v>
      </c>
      <c r="B78" s="24">
        <v>1600</v>
      </c>
      <c r="D78" s="43" t="s">
        <v>1349</v>
      </c>
    </row>
    <row r="79" spans="1:4">
      <c r="B79" s="24">
        <v>30000</v>
      </c>
      <c r="D79" s="43" t="s">
        <v>1350</v>
      </c>
    </row>
    <row r="80" spans="1:4">
      <c r="C80" s="33">
        <v>8600</v>
      </c>
      <c r="D80" s="43" t="s">
        <v>1351</v>
      </c>
    </row>
    <row r="81" spans="1:4">
      <c r="A81" s="20">
        <v>44622</v>
      </c>
      <c r="C81" s="33">
        <v>38200</v>
      </c>
      <c r="D81" s="43" t="s">
        <v>1352</v>
      </c>
    </row>
    <row r="82" spans="1:4">
      <c r="C82" s="33">
        <v>1750</v>
      </c>
      <c r="D82" s="43" t="s">
        <v>1353</v>
      </c>
    </row>
    <row r="83" spans="1:4">
      <c r="C83" s="33">
        <v>480</v>
      </c>
      <c r="D83" s="43" t="s">
        <v>1354</v>
      </c>
    </row>
    <row r="84" spans="1:4">
      <c r="A84" s="20">
        <v>44623</v>
      </c>
      <c r="C84" s="33">
        <v>1500</v>
      </c>
      <c r="D84" s="43" t="s">
        <v>1355</v>
      </c>
    </row>
    <row r="85" spans="1:4">
      <c r="A85" s="20">
        <v>44624</v>
      </c>
      <c r="C85" s="33">
        <v>2800</v>
      </c>
      <c r="D85" s="43" t="s">
        <v>1356</v>
      </c>
    </row>
    <row r="86" spans="1:4">
      <c r="C86" s="33">
        <v>500</v>
      </c>
      <c r="D86" s="43" t="s">
        <v>1357</v>
      </c>
    </row>
    <row r="87" spans="1:4">
      <c r="B87" s="24">
        <v>9900</v>
      </c>
      <c r="D87" s="43" t="s">
        <v>1358</v>
      </c>
    </row>
    <row r="88" spans="1:4">
      <c r="C88" s="33">
        <v>597</v>
      </c>
      <c r="D88" s="43" t="s">
        <v>990</v>
      </c>
    </row>
    <row r="89" spans="1:4">
      <c r="C89" s="33">
        <v>1200</v>
      </c>
      <c r="D89" s="43" t="s">
        <v>1359</v>
      </c>
    </row>
    <row r="90" spans="1:4">
      <c r="A90" s="20">
        <v>44625</v>
      </c>
      <c r="B90" s="24">
        <v>2000000</v>
      </c>
      <c r="D90" s="43" t="s">
        <v>1362</v>
      </c>
    </row>
    <row r="91" spans="1:4">
      <c r="C91" s="33">
        <v>120000</v>
      </c>
      <c r="D91" s="43" t="s">
        <v>990</v>
      </c>
    </row>
    <row r="92" spans="1:4">
      <c r="A92" s="20">
        <v>44626</v>
      </c>
      <c r="B92" s="24">
        <v>18400</v>
      </c>
      <c r="D92" s="43" t="s">
        <v>1360</v>
      </c>
    </row>
    <row r="93" spans="1:4">
      <c r="C93" s="33">
        <v>79000</v>
      </c>
      <c r="D93" s="43" t="s">
        <v>1361</v>
      </c>
    </row>
    <row r="94" spans="1:4">
      <c r="A94" s="20">
        <v>44628</v>
      </c>
      <c r="B94" s="24">
        <v>35000</v>
      </c>
      <c r="D94" s="43" t="s">
        <v>1363</v>
      </c>
    </row>
    <row r="95" spans="1:4">
      <c r="A95" s="20">
        <v>44629</v>
      </c>
      <c r="B95" s="24">
        <v>4000</v>
      </c>
      <c r="D95" s="43" t="s">
        <v>1364</v>
      </c>
    </row>
    <row r="96" spans="1:4">
      <c r="A96" s="20">
        <v>44630</v>
      </c>
      <c r="B96" s="24">
        <v>2000</v>
      </c>
      <c r="D96" s="43" t="s">
        <v>1365</v>
      </c>
    </row>
    <row r="97" spans="1:4">
      <c r="C97" s="33">
        <v>34286</v>
      </c>
      <c r="D97" s="43" t="s">
        <v>1366</v>
      </c>
    </row>
    <row r="98" spans="1:4">
      <c r="A98" s="20">
        <v>44632</v>
      </c>
      <c r="B98" s="24">
        <v>10000</v>
      </c>
      <c r="D98" s="43" t="s">
        <v>1367</v>
      </c>
    </row>
    <row r="99" spans="1:4">
      <c r="C99" s="33">
        <v>600</v>
      </c>
      <c r="D99" s="43" t="s">
        <v>990</v>
      </c>
    </row>
    <row r="100" spans="1:4">
      <c r="C100" s="33">
        <v>1400</v>
      </c>
      <c r="D100" s="43" t="s">
        <v>1368</v>
      </c>
    </row>
    <row r="101" spans="1:4">
      <c r="A101" s="20">
        <v>44633</v>
      </c>
      <c r="C101" s="33">
        <v>4800</v>
      </c>
      <c r="D101" s="43" t="s">
        <v>1369</v>
      </c>
    </row>
    <row r="102" spans="1:4">
      <c r="A102" s="20">
        <v>44634</v>
      </c>
      <c r="C102" s="33">
        <v>2010</v>
      </c>
      <c r="D102" s="43" t="s">
        <v>1370</v>
      </c>
    </row>
    <row r="103" spans="1:4">
      <c r="C103" s="33">
        <v>5000</v>
      </c>
      <c r="D103" s="43" t="s">
        <v>1371</v>
      </c>
    </row>
    <row r="104" spans="1:4">
      <c r="B104" s="24">
        <v>19800</v>
      </c>
      <c r="C104" s="33">
        <v>1175</v>
      </c>
      <c r="D104" s="43" t="s">
        <v>1372</v>
      </c>
    </row>
    <row r="105" spans="1:4">
      <c r="C105" s="33">
        <v>1138</v>
      </c>
      <c r="D105" s="43" t="s">
        <v>1373</v>
      </c>
    </row>
    <row r="106" spans="1:4">
      <c r="A106" s="20">
        <v>44635</v>
      </c>
      <c r="C106" s="33">
        <v>3438</v>
      </c>
      <c r="D106" s="43" t="s">
        <v>1374</v>
      </c>
    </row>
    <row r="107" spans="1:4">
      <c r="C107" s="33">
        <v>5080</v>
      </c>
      <c r="D107" s="43" t="s">
        <v>1375</v>
      </c>
    </row>
    <row r="108" spans="1:4">
      <c r="B108" s="24">
        <v>6000</v>
      </c>
      <c r="D108" s="43" t="s">
        <v>1376</v>
      </c>
    </row>
    <row r="109" spans="1:4">
      <c r="C109" s="33">
        <v>6700</v>
      </c>
      <c r="D109" s="43" t="s">
        <v>1379</v>
      </c>
    </row>
    <row r="110" spans="1:4">
      <c r="A110" s="20">
        <v>44636</v>
      </c>
      <c r="C110" s="33">
        <v>1000</v>
      </c>
      <c r="D110" s="43" t="s">
        <v>1377</v>
      </c>
    </row>
    <row r="111" spans="1:4">
      <c r="C111" s="33">
        <v>25000</v>
      </c>
      <c r="D111" s="43" t="s">
        <v>1378</v>
      </c>
    </row>
    <row r="112" spans="1:4">
      <c r="B112" s="24">
        <v>2000</v>
      </c>
      <c r="D112" s="43" t="s">
        <v>1380</v>
      </c>
    </row>
    <row r="113" spans="1:4">
      <c r="C113" s="33">
        <v>1066</v>
      </c>
      <c r="D113" s="43" t="s">
        <v>1381</v>
      </c>
    </row>
    <row r="114" spans="1:4">
      <c r="B114" s="24">
        <v>2700</v>
      </c>
      <c r="D114" s="43" t="s">
        <v>1382</v>
      </c>
    </row>
    <row r="115" spans="1:4">
      <c r="A115" s="20">
        <v>44637</v>
      </c>
      <c r="C115" s="33">
        <v>97300</v>
      </c>
      <c r="D115" s="43" t="s">
        <v>1383</v>
      </c>
    </row>
    <row r="116" spans="1:4">
      <c r="B116" s="24">
        <v>60000</v>
      </c>
      <c r="C116" s="33">
        <v>3600</v>
      </c>
      <c r="D116" s="43" t="s">
        <v>1384</v>
      </c>
    </row>
    <row r="117" spans="1:4">
      <c r="B117" s="24">
        <v>2000</v>
      </c>
      <c r="D117" s="43" t="s">
        <v>1385</v>
      </c>
    </row>
    <row r="118" spans="1:4">
      <c r="A118" s="20">
        <v>37336</v>
      </c>
      <c r="C118" s="33">
        <v>5000</v>
      </c>
      <c r="D118" s="43" t="s">
        <v>1386</v>
      </c>
    </row>
    <row r="119" spans="1:4">
      <c r="C119" s="33">
        <v>1000</v>
      </c>
      <c r="D119" s="43" t="s">
        <v>1387</v>
      </c>
    </row>
    <row r="120" spans="1:4">
      <c r="B120" s="24">
        <v>2068</v>
      </c>
      <c r="D120" s="43" t="s">
        <v>1388</v>
      </c>
    </row>
    <row r="121" spans="1:4">
      <c r="A121" s="20">
        <v>44642</v>
      </c>
      <c r="C121" s="33">
        <v>12853</v>
      </c>
      <c r="D121" s="43" t="s">
        <v>1389</v>
      </c>
    </row>
    <row r="122" spans="1:4">
      <c r="A122" s="20">
        <v>44643</v>
      </c>
      <c r="C122" s="33">
        <v>31200</v>
      </c>
      <c r="D122" s="43" t="s">
        <v>1390</v>
      </c>
    </row>
    <row r="123" spans="1:4">
      <c r="C123" s="33">
        <v>4800</v>
      </c>
      <c r="D123" s="43" t="s">
        <v>1391</v>
      </c>
    </row>
    <row r="124" spans="1:4">
      <c r="A124" s="20">
        <v>44644</v>
      </c>
      <c r="B124" s="24">
        <v>2068</v>
      </c>
      <c r="D124" s="43" t="s">
        <v>1392</v>
      </c>
    </row>
    <row r="125" spans="1:4">
      <c r="C125" s="33">
        <v>5000</v>
      </c>
      <c r="D125" s="43" t="s">
        <v>133</v>
      </c>
    </row>
    <row r="126" spans="1:4">
      <c r="B126" s="24">
        <v>6000</v>
      </c>
      <c r="D126" s="43" t="s">
        <v>1393</v>
      </c>
    </row>
    <row r="127" spans="1:4">
      <c r="B127" s="24">
        <v>4136</v>
      </c>
      <c r="D127" s="43" t="s">
        <v>1394</v>
      </c>
    </row>
    <row r="128" spans="1:4">
      <c r="A128" s="20">
        <v>44645</v>
      </c>
      <c r="B128" s="24">
        <v>38070</v>
      </c>
      <c r="C128" s="33">
        <v>30000</v>
      </c>
      <c r="D128" s="43" t="s">
        <v>1397</v>
      </c>
    </row>
    <row r="129" spans="1:4">
      <c r="B129" s="24">
        <v>4000</v>
      </c>
      <c r="C129" s="33">
        <v>240</v>
      </c>
      <c r="D129" s="43" t="s">
        <v>1395</v>
      </c>
    </row>
    <row r="130" spans="1:4">
      <c r="B130" s="24">
        <v>19000</v>
      </c>
      <c r="C130" s="33">
        <v>1140</v>
      </c>
      <c r="D130" s="43" t="s">
        <v>1396</v>
      </c>
    </row>
    <row r="131" spans="1:4">
      <c r="B131" s="24">
        <v>59720</v>
      </c>
      <c r="C131" s="33">
        <v>3584</v>
      </c>
      <c r="D131" s="43" t="s">
        <v>1398</v>
      </c>
    </row>
    <row r="132" spans="1:4">
      <c r="B132" s="24">
        <v>3000</v>
      </c>
      <c r="D132" s="43" t="s">
        <v>1399</v>
      </c>
    </row>
    <row r="133" spans="1:4">
      <c r="A133" s="20">
        <v>44646</v>
      </c>
      <c r="C133" s="33">
        <v>100000</v>
      </c>
      <c r="D133" s="43" t="s">
        <v>1400</v>
      </c>
    </row>
    <row r="134" spans="1:4">
      <c r="C134" s="33">
        <v>6000</v>
      </c>
      <c r="D134" s="43" t="s">
        <v>1401</v>
      </c>
    </row>
    <row r="135" spans="1:4">
      <c r="C135" s="33">
        <v>1500</v>
      </c>
      <c r="D135" s="43" t="s">
        <v>1402</v>
      </c>
    </row>
    <row r="136" spans="1:4">
      <c r="A136" s="20">
        <v>44650</v>
      </c>
      <c r="B136" s="24">
        <v>9000</v>
      </c>
      <c r="D136" s="43" t="s">
        <v>1403</v>
      </c>
    </row>
    <row r="137" spans="1:4">
      <c r="A137" s="20">
        <v>44651</v>
      </c>
      <c r="B137" s="24">
        <v>2000</v>
      </c>
      <c r="D137" s="43" t="s">
        <v>1404</v>
      </c>
    </row>
    <row r="138" spans="1:4">
      <c r="C138" s="33">
        <v>7500</v>
      </c>
      <c r="D138" s="43" t="s">
        <v>1405</v>
      </c>
    </row>
    <row r="139" spans="1:4">
      <c r="C139" s="33">
        <v>10000</v>
      </c>
      <c r="D139" s="43" t="s">
        <v>1406</v>
      </c>
    </row>
    <row r="140" spans="1:4">
      <c r="B140" s="24">
        <v>6204</v>
      </c>
      <c r="D140" s="43" t="s">
        <v>1407</v>
      </c>
    </row>
    <row r="141" spans="1:4">
      <c r="A141" s="20">
        <v>44652</v>
      </c>
      <c r="C141" s="33">
        <v>3700</v>
      </c>
      <c r="D141" s="43" t="s">
        <v>1408</v>
      </c>
    </row>
    <row r="142" spans="1:4">
      <c r="C142" s="33">
        <v>38200</v>
      </c>
      <c r="D142" s="43" t="s">
        <v>1409</v>
      </c>
    </row>
    <row r="143" spans="1:4">
      <c r="C143" s="33">
        <v>2118</v>
      </c>
      <c r="D143" s="43" t="s">
        <v>1410</v>
      </c>
    </row>
    <row r="144" spans="1:4">
      <c r="A144" s="20">
        <v>44657</v>
      </c>
      <c r="C144" s="33">
        <v>2400</v>
      </c>
      <c r="D144" s="43" t="s">
        <v>1411</v>
      </c>
    </row>
    <row r="145" spans="1:4">
      <c r="C145" s="33">
        <v>700</v>
      </c>
      <c r="D145" s="43" t="s">
        <v>1412</v>
      </c>
    </row>
    <row r="146" spans="1:4">
      <c r="C146" s="33">
        <v>9000</v>
      </c>
      <c r="D146" s="43" t="s">
        <v>1413</v>
      </c>
    </row>
    <row r="147" spans="1:4">
      <c r="C147" s="33">
        <v>560</v>
      </c>
      <c r="D147" s="43" t="s">
        <v>1414</v>
      </c>
    </row>
    <row r="148" spans="1:4">
      <c r="C148" s="33">
        <v>1570</v>
      </c>
      <c r="D148" s="43" t="s">
        <v>1415</v>
      </c>
    </row>
    <row r="149" spans="1:4">
      <c r="B149" s="24">
        <v>3300</v>
      </c>
      <c r="C149" s="33">
        <v>231</v>
      </c>
      <c r="D149" s="43" t="s">
        <v>1416</v>
      </c>
    </row>
    <row r="150" spans="1:4">
      <c r="B150" s="24">
        <v>11000</v>
      </c>
      <c r="C150" s="33">
        <v>770</v>
      </c>
      <c r="D150" s="43" t="s">
        <v>1417</v>
      </c>
    </row>
    <row r="151" spans="1:4">
      <c r="A151" s="20">
        <v>44658</v>
      </c>
      <c r="C151" s="33">
        <v>650</v>
      </c>
      <c r="D151" s="43" t="s">
        <v>1205</v>
      </c>
    </row>
    <row r="152" spans="1:4">
      <c r="C152" s="33">
        <v>3000</v>
      </c>
      <c r="D152" s="43" t="s">
        <v>1418</v>
      </c>
    </row>
    <row r="153" spans="1:4">
      <c r="C153" s="33">
        <v>10000</v>
      </c>
      <c r="D153" s="43" t="s">
        <v>1419</v>
      </c>
    </row>
    <row r="154" spans="1:4">
      <c r="B154" s="24">
        <v>5000</v>
      </c>
      <c r="D154" s="43" t="s">
        <v>1420</v>
      </c>
    </row>
    <row r="155" spans="1:4">
      <c r="A155" s="20">
        <v>44659</v>
      </c>
      <c r="B155" s="24">
        <v>965432.7</v>
      </c>
      <c r="C155" s="33">
        <v>57926</v>
      </c>
      <c r="D155" s="43" t="s">
        <v>1421</v>
      </c>
    </row>
    <row r="156" spans="1:4">
      <c r="B156" s="24">
        <v>30000</v>
      </c>
      <c r="C156" s="33">
        <v>1800</v>
      </c>
      <c r="D156" s="43" t="s">
        <v>1422</v>
      </c>
    </row>
    <row r="157" spans="1:4">
      <c r="B157" s="24">
        <v>12000</v>
      </c>
      <c r="C157" s="33">
        <v>720</v>
      </c>
      <c r="D157" s="43" t="s">
        <v>1423</v>
      </c>
    </row>
    <row r="158" spans="1:4">
      <c r="A158" s="20">
        <v>44660</v>
      </c>
      <c r="C158" s="33">
        <v>5000</v>
      </c>
      <c r="D158" s="43" t="s">
        <v>166</v>
      </c>
    </row>
    <row r="159" spans="1:4">
      <c r="B159" s="24">
        <v>6000</v>
      </c>
      <c r="D159" s="43" t="s">
        <v>1424</v>
      </c>
    </row>
    <row r="160" spans="1:4">
      <c r="A160" s="20">
        <v>44663</v>
      </c>
      <c r="B160" s="24">
        <v>10000</v>
      </c>
      <c r="D160" s="43" t="s">
        <v>1425</v>
      </c>
    </row>
    <row r="161" spans="1:4">
      <c r="B161" s="24">
        <v>12000</v>
      </c>
      <c r="D161" s="43" t="s">
        <v>1426</v>
      </c>
    </row>
    <row r="162" spans="1:4">
      <c r="C162" s="33">
        <v>2500</v>
      </c>
      <c r="D162" s="43" t="s">
        <v>1427</v>
      </c>
    </row>
    <row r="163" spans="1:4">
      <c r="A163" s="20">
        <v>44664</v>
      </c>
      <c r="C163" s="33">
        <v>5300</v>
      </c>
      <c r="D163" s="43" t="s">
        <v>1428</v>
      </c>
    </row>
    <row r="164" spans="1:4">
      <c r="A164" s="20">
        <v>44666</v>
      </c>
      <c r="C164" s="33">
        <v>339000</v>
      </c>
      <c r="D164" s="43" t="s">
        <v>1429</v>
      </c>
    </row>
    <row r="165" spans="1:4">
      <c r="C165" s="33">
        <v>8000</v>
      </c>
      <c r="D165" s="43" t="s">
        <v>1430</v>
      </c>
    </row>
    <row r="166" spans="1:4">
      <c r="A166" s="20">
        <v>44669</v>
      </c>
      <c r="C166" s="33">
        <v>1600</v>
      </c>
      <c r="D166" s="43" t="s">
        <v>1431</v>
      </c>
    </row>
    <row r="167" spans="1:4">
      <c r="C167" s="33">
        <v>400</v>
      </c>
      <c r="D167" s="43" t="s">
        <v>1432</v>
      </c>
    </row>
    <row r="168" spans="1:4">
      <c r="C168" s="33">
        <v>2600</v>
      </c>
      <c r="D168" s="43" t="s">
        <v>1433</v>
      </c>
    </row>
    <row r="169" spans="1:4">
      <c r="A169" s="20">
        <v>44670</v>
      </c>
      <c r="C169" s="33">
        <v>1500</v>
      </c>
      <c r="D169" s="43" t="s">
        <v>1435</v>
      </c>
    </row>
    <row r="170" spans="1:4">
      <c r="C170" s="33">
        <v>1300</v>
      </c>
      <c r="D170" s="43" t="s">
        <v>1436</v>
      </c>
    </row>
    <row r="171" spans="1:4">
      <c r="C171" s="33">
        <v>5400</v>
      </c>
      <c r="D171" s="43" t="s">
        <v>1437</v>
      </c>
    </row>
    <row r="172" spans="1:4">
      <c r="C172" s="33">
        <v>500</v>
      </c>
      <c r="D172" s="43" t="s">
        <v>1438</v>
      </c>
    </row>
    <row r="173" spans="1:4">
      <c r="A173" s="20">
        <v>44671</v>
      </c>
      <c r="B173" s="24">
        <v>9000</v>
      </c>
      <c r="D173" s="43" t="s">
        <v>1439</v>
      </c>
    </row>
    <row r="174" spans="1:4">
      <c r="C174" s="33">
        <v>360000</v>
      </c>
      <c r="D174" s="43" t="s">
        <v>1440</v>
      </c>
    </row>
    <row r="175" spans="1:4">
      <c r="C175" s="33">
        <v>3600</v>
      </c>
      <c r="D175" s="43" t="s">
        <v>1441</v>
      </c>
    </row>
    <row r="176" spans="1:4">
      <c r="A176" s="20">
        <v>44672</v>
      </c>
      <c r="C176" s="33">
        <v>800</v>
      </c>
      <c r="D176" s="43" t="s">
        <v>1442</v>
      </c>
    </row>
    <row r="177" spans="1:4">
      <c r="C177" s="33">
        <v>5000</v>
      </c>
      <c r="D177" s="43" t="s">
        <v>1443</v>
      </c>
    </row>
    <row r="178" spans="1:4">
      <c r="A178" s="20">
        <v>44675</v>
      </c>
      <c r="C178" s="33">
        <v>6500</v>
      </c>
      <c r="D178" s="43" t="s">
        <v>1444</v>
      </c>
    </row>
    <row r="179" spans="1:4">
      <c r="B179" s="24">
        <v>5000</v>
      </c>
      <c r="D179" s="43" t="s">
        <v>1445</v>
      </c>
    </row>
    <row r="180" spans="1:4">
      <c r="C180" s="33">
        <v>2880</v>
      </c>
      <c r="D180" s="43" t="s">
        <v>1446</v>
      </c>
    </row>
    <row r="181" spans="1:4">
      <c r="A181" s="20">
        <v>44677</v>
      </c>
      <c r="B181" s="24">
        <v>3000</v>
      </c>
      <c r="C181" s="33">
        <v>180</v>
      </c>
      <c r="D181" s="43" t="s">
        <v>1447</v>
      </c>
    </row>
    <row r="182" spans="1:4">
      <c r="A182" s="20">
        <v>44678</v>
      </c>
      <c r="B182" s="24">
        <v>3300</v>
      </c>
      <c r="C182" s="33">
        <v>198</v>
      </c>
      <c r="D182" s="43" t="s">
        <v>1448</v>
      </c>
    </row>
    <row r="183" spans="1:4">
      <c r="B183" s="24">
        <v>34300</v>
      </c>
      <c r="C183" s="33">
        <v>2058</v>
      </c>
      <c r="D183" s="43" t="s">
        <v>1449</v>
      </c>
    </row>
    <row r="184" spans="1:4">
      <c r="B184" s="24">
        <v>7000</v>
      </c>
      <c r="C184" s="33">
        <v>420</v>
      </c>
      <c r="D184" s="43" t="s">
        <v>1450</v>
      </c>
    </row>
    <row r="185" spans="1:4">
      <c r="B185" s="24">
        <v>10000</v>
      </c>
      <c r="D185" s="43" t="s">
        <v>1451</v>
      </c>
    </row>
    <row r="186" spans="1:4">
      <c r="C186" s="33">
        <v>14200</v>
      </c>
      <c r="D186" s="43" t="s">
        <v>1452</v>
      </c>
    </row>
    <row r="187" spans="1:4">
      <c r="A187" s="20">
        <v>44679</v>
      </c>
      <c r="B187" s="24">
        <v>2000</v>
      </c>
      <c r="D187" s="43" t="s">
        <v>1453</v>
      </c>
    </row>
    <row r="188" spans="1:4">
      <c r="A188" s="20">
        <v>44680</v>
      </c>
      <c r="C188" s="33">
        <v>2400</v>
      </c>
      <c r="D188" s="43" t="s">
        <v>1454</v>
      </c>
    </row>
    <row r="189" spans="1:4">
      <c r="B189" s="24">
        <v>17000</v>
      </c>
      <c r="D189" s="43" t="s">
        <v>1455</v>
      </c>
    </row>
    <row r="190" spans="1:4">
      <c r="B190" s="24">
        <v>6600</v>
      </c>
      <c r="C190" s="33">
        <v>396</v>
      </c>
      <c r="D190" s="43" t="s">
        <v>1456</v>
      </c>
    </row>
    <row r="191" spans="1:4">
      <c r="B191" s="24">
        <v>8800</v>
      </c>
      <c r="C191" s="33">
        <v>528</v>
      </c>
      <c r="D191" s="43" t="s">
        <v>1457</v>
      </c>
    </row>
    <row r="192" spans="1:4">
      <c r="C192" s="33">
        <v>500</v>
      </c>
      <c r="D192" s="43" t="s">
        <v>1205</v>
      </c>
    </row>
    <row r="193" spans="1:4">
      <c r="A193" s="20">
        <v>44685</v>
      </c>
      <c r="C193" s="33">
        <v>3500</v>
      </c>
      <c r="D193" s="43" t="s">
        <v>1458</v>
      </c>
    </row>
    <row r="194" spans="1:4">
      <c r="A194" s="20">
        <v>44686</v>
      </c>
      <c r="B194" s="24">
        <v>13200</v>
      </c>
      <c r="C194" s="33">
        <v>792</v>
      </c>
      <c r="D194" s="43" t="s">
        <v>1459</v>
      </c>
    </row>
    <row r="195" spans="1:4">
      <c r="B195" s="24">
        <v>15000</v>
      </c>
      <c r="C195" s="33">
        <v>900</v>
      </c>
      <c r="D195" s="43" t="s">
        <v>1460</v>
      </c>
    </row>
    <row r="196" spans="1:4">
      <c r="A196" s="20">
        <v>44687</v>
      </c>
      <c r="C196" s="33">
        <v>38200</v>
      </c>
      <c r="D196" s="43" t="s">
        <v>1461</v>
      </c>
    </row>
    <row r="197" spans="1:4">
      <c r="C197" s="33">
        <v>28740</v>
      </c>
      <c r="D197" s="43" t="s">
        <v>1462</v>
      </c>
    </row>
    <row r="198" spans="1:4">
      <c r="B198" s="24">
        <v>11600</v>
      </c>
      <c r="D198" s="43" t="s">
        <v>1463</v>
      </c>
    </row>
    <row r="199" spans="1:4">
      <c r="C199" s="33">
        <v>5000</v>
      </c>
      <c r="D199" s="43" t="s">
        <v>1464</v>
      </c>
    </row>
    <row r="200" spans="1:4">
      <c r="A200" s="20">
        <v>44692</v>
      </c>
      <c r="B200" s="24">
        <v>60000</v>
      </c>
      <c r="D200" s="43" t="s">
        <v>1465</v>
      </c>
    </row>
    <row r="201" spans="1:4">
      <c r="C201" s="33">
        <v>1900</v>
      </c>
      <c r="D201" s="43" t="s">
        <v>1466</v>
      </c>
    </row>
    <row r="202" spans="1:4">
      <c r="A202" s="20">
        <v>44693</v>
      </c>
      <c r="C202" s="33">
        <v>26452</v>
      </c>
      <c r="D202" s="43" t="s">
        <v>1467</v>
      </c>
    </row>
    <row r="203" spans="1:4">
      <c r="B203" s="24">
        <v>5000</v>
      </c>
      <c r="D203" s="43" t="s">
        <v>1468</v>
      </c>
    </row>
    <row r="204" spans="1:4">
      <c r="C204" s="33">
        <v>7500</v>
      </c>
      <c r="D204" s="43" t="s">
        <v>1469</v>
      </c>
    </row>
    <row r="205" spans="1:4">
      <c r="C205" s="33">
        <v>1300</v>
      </c>
      <c r="D205" s="43" t="s">
        <v>1470</v>
      </c>
    </row>
    <row r="206" spans="1:4">
      <c r="A206" s="20">
        <v>44694</v>
      </c>
      <c r="B206" s="24">
        <v>13300</v>
      </c>
      <c r="C206" s="33">
        <v>798</v>
      </c>
      <c r="D206" s="43" t="s">
        <v>1471</v>
      </c>
    </row>
    <row r="207" spans="1:4">
      <c r="B207" s="24">
        <v>20000</v>
      </c>
      <c r="C207" s="33">
        <v>1200</v>
      </c>
      <c r="D207" s="43" t="s">
        <v>1472</v>
      </c>
    </row>
    <row r="208" spans="1:4">
      <c r="A208" s="20">
        <v>44695</v>
      </c>
      <c r="B208" s="24">
        <v>6000</v>
      </c>
      <c r="D208" s="43" t="s">
        <v>1473</v>
      </c>
    </row>
    <row r="209" spans="1:4">
      <c r="B209" s="24">
        <v>10000</v>
      </c>
      <c r="D209" s="43" t="s">
        <v>1474</v>
      </c>
    </row>
    <row r="210" spans="1:4">
      <c r="A210" s="20">
        <v>44697</v>
      </c>
      <c r="C210" s="33">
        <v>10600</v>
      </c>
      <c r="D210" s="43" t="s">
        <v>1475</v>
      </c>
    </row>
    <row r="211" spans="1:4">
      <c r="C211" s="33">
        <v>1000</v>
      </c>
      <c r="D211" s="43" t="s">
        <v>1476</v>
      </c>
    </row>
    <row r="212" spans="1:4">
      <c r="C212" s="33">
        <v>2440</v>
      </c>
      <c r="D212" s="43" t="s">
        <v>1477</v>
      </c>
    </row>
    <row r="213" spans="1:4">
      <c r="A213" s="20">
        <v>44699</v>
      </c>
      <c r="C213" s="33">
        <v>910</v>
      </c>
      <c r="D213" s="43" t="s">
        <v>1478</v>
      </c>
    </row>
    <row r="214" spans="1:4">
      <c r="C214" s="33">
        <v>1349</v>
      </c>
      <c r="D214" s="43" t="s">
        <v>1479</v>
      </c>
    </row>
    <row r="215" spans="1:4">
      <c r="C215" s="33">
        <v>1080</v>
      </c>
      <c r="D215" s="43" t="s">
        <v>1480</v>
      </c>
    </row>
    <row r="216" spans="1:4">
      <c r="B216" s="24">
        <v>6000</v>
      </c>
      <c r="D216" s="43" t="s">
        <v>1481</v>
      </c>
    </row>
    <row r="217" spans="1:4">
      <c r="B217" s="24">
        <v>3405</v>
      </c>
      <c r="D217" s="43" t="s">
        <v>1482</v>
      </c>
    </row>
    <row r="218" spans="1:4">
      <c r="A218" s="20">
        <v>44700</v>
      </c>
      <c r="B218" s="24">
        <v>10600</v>
      </c>
      <c r="C218" s="33">
        <v>604</v>
      </c>
      <c r="D218" s="43" t="s">
        <v>1483</v>
      </c>
    </row>
    <row r="219" spans="1:4">
      <c r="A219" s="69"/>
      <c r="B219" s="70">
        <v>20000</v>
      </c>
      <c r="C219" s="71">
        <v>1200</v>
      </c>
      <c r="D219" s="72" t="s">
        <v>1484</v>
      </c>
    </row>
    <row r="220" spans="1:4">
      <c r="A220" s="69">
        <v>44703</v>
      </c>
      <c r="B220" s="70"/>
      <c r="C220" s="71">
        <v>2030</v>
      </c>
      <c r="D220" s="72" t="s">
        <v>1485</v>
      </c>
    </row>
    <row r="221" spans="1:4">
      <c r="A221" s="69"/>
      <c r="B221" s="70">
        <v>2500</v>
      </c>
      <c r="C221" s="71"/>
      <c r="D221" s="72" t="s">
        <v>1486</v>
      </c>
    </row>
    <row r="222" spans="1:4">
      <c r="C222" s="33">
        <v>3000</v>
      </c>
      <c r="D222" s="43" t="s">
        <v>1487</v>
      </c>
    </row>
    <row r="223" spans="1:4">
      <c r="A223" s="20">
        <v>44704</v>
      </c>
      <c r="B223" s="24">
        <v>5000</v>
      </c>
      <c r="D223" s="43" t="s">
        <v>1488</v>
      </c>
    </row>
    <row r="224" spans="1:4">
      <c r="C224" s="33">
        <v>5000</v>
      </c>
      <c r="D224" s="43" t="s">
        <v>1489</v>
      </c>
    </row>
    <row r="225" spans="1:4">
      <c r="C225" s="33">
        <v>600</v>
      </c>
      <c r="D225" s="43" t="s">
        <v>1490</v>
      </c>
    </row>
    <row r="226" spans="1:4">
      <c r="A226" s="20">
        <v>250522</v>
      </c>
      <c r="B226" s="24">
        <v>37800</v>
      </c>
      <c r="C226" s="33">
        <v>2268</v>
      </c>
      <c r="D226" s="43" t="s">
        <v>1491</v>
      </c>
    </row>
    <row r="227" spans="1:4">
      <c r="B227" s="24">
        <v>20000</v>
      </c>
      <c r="C227" s="33">
        <v>1200</v>
      </c>
      <c r="D227" s="43" t="s">
        <v>1492</v>
      </c>
    </row>
    <row r="228" spans="1:4">
      <c r="C228" s="33">
        <v>330</v>
      </c>
      <c r="D228" s="43" t="s">
        <v>1493</v>
      </c>
    </row>
    <row r="229" spans="1:4">
      <c r="C229" s="33">
        <v>792</v>
      </c>
      <c r="D229" s="43" t="s">
        <v>1494</v>
      </c>
    </row>
    <row r="230" spans="1:4">
      <c r="C230" s="33">
        <v>300</v>
      </c>
      <c r="D230" s="43" t="s">
        <v>1495</v>
      </c>
    </row>
    <row r="231" spans="1:4">
      <c r="A231" s="20">
        <v>44707</v>
      </c>
      <c r="C231" s="33">
        <v>23200</v>
      </c>
      <c r="D231" s="43" t="s">
        <v>1496</v>
      </c>
    </row>
    <row r="232" spans="1:4">
      <c r="A232" s="79">
        <v>44709</v>
      </c>
      <c r="B232">
        <v>1000</v>
      </c>
      <c r="D232" s="43" t="s">
        <v>1497</v>
      </c>
    </row>
    <row r="233" spans="1:4">
      <c r="B233" s="26"/>
      <c r="C233" s="33">
        <v>2000</v>
      </c>
      <c r="D233" s="43" t="s">
        <v>1498</v>
      </c>
    </row>
    <row r="234" spans="1:4">
      <c r="B234" s="26"/>
      <c r="C234" s="33">
        <v>1600</v>
      </c>
      <c r="D234" s="43" t="s">
        <v>1499</v>
      </c>
    </row>
    <row r="235" spans="1:4">
      <c r="A235" s="20">
        <v>44712</v>
      </c>
      <c r="B235" s="26">
        <v>22000</v>
      </c>
      <c r="D235" s="43" t="s">
        <v>1500</v>
      </c>
    </row>
    <row r="236" spans="1:4">
      <c r="B236" s="26">
        <v>50000</v>
      </c>
      <c r="C236" s="33">
        <v>3000</v>
      </c>
      <c r="D236" s="43" t="s">
        <v>1501</v>
      </c>
    </row>
    <row r="237" spans="1:4">
      <c r="A237" s="20">
        <v>44714</v>
      </c>
      <c r="B237" s="26"/>
      <c r="C237" s="33">
        <v>38200</v>
      </c>
      <c r="D237" s="43" t="s">
        <v>1502</v>
      </c>
    </row>
    <row r="238" spans="1:4">
      <c r="B238" s="26"/>
      <c r="C238" s="33">
        <v>655</v>
      </c>
      <c r="D238" s="43" t="s">
        <v>1503</v>
      </c>
    </row>
    <row r="239" spans="1:4">
      <c r="A239" s="20">
        <v>44715</v>
      </c>
      <c r="B239" s="26"/>
      <c r="C239" s="33">
        <v>2250</v>
      </c>
      <c r="D239" s="43" t="s">
        <v>1504</v>
      </c>
    </row>
    <row r="240" spans="1:4">
      <c r="B240" s="26"/>
      <c r="C240" s="33">
        <v>350</v>
      </c>
      <c r="D240" s="43" t="s">
        <v>1505</v>
      </c>
    </row>
    <row r="241" spans="1:4">
      <c r="A241" s="20">
        <v>44716</v>
      </c>
      <c r="B241" s="26">
        <v>3000</v>
      </c>
      <c r="D241" s="43" t="s">
        <v>1506</v>
      </c>
    </row>
    <row r="242" spans="1:4">
      <c r="B242" s="26">
        <v>10000</v>
      </c>
      <c r="D242" s="43" t="s">
        <v>1507</v>
      </c>
    </row>
    <row r="243" spans="1:4">
      <c r="B243" s="26">
        <v>3000</v>
      </c>
      <c r="D243" s="43" t="s">
        <v>1508</v>
      </c>
    </row>
    <row r="244" spans="1:4">
      <c r="C244" s="33">
        <v>1100</v>
      </c>
      <c r="D244" s="43" t="s">
        <v>1509</v>
      </c>
    </row>
    <row r="245" spans="1:4">
      <c r="A245" s="20">
        <v>44719</v>
      </c>
      <c r="C245" s="33">
        <v>2500</v>
      </c>
      <c r="D245" s="43" t="s">
        <v>1510</v>
      </c>
    </row>
    <row r="246" spans="1:4">
      <c r="B246" s="24">
        <v>932539.05</v>
      </c>
      <c r="C246" s="33">
        <v>55939</v>
      </c>
      <c r="D246" s="43" t="s">
        <v>1511</v>
      </c>
    </row>
    <row r="247" spans="1:4">
      <c r="A247" s="20">
        <v>44720</v>
      </c>
    </row>
    <row r="248" spans="1:4">
      <c r="B248" s="24">
        <v>10000</v>
      </c>
      <c r="C248" s="33">
        <v>700</v>
      </c>
      <c r="D248" s="43" t="s">
        <v>1512</v>
      </c>
    </row>
    <row r="249" spans="1:4">
      <c r="A249" s="20">
        <v>44721</v>
      </c>
      <c r="C249" s="33">
        <v>2404</v>
      </c>
      <c r="D249" s="43" t="s">
        <v>1513</v>
      </c>
    </row>
    <row r="250" spans="1:4">
      <c r="A250" s="20">
        <v>44722</v>
      </c>
      <c r="C250" s="33">
        <v>965</v>
      </c>
      <c r="D250" s="43" t="s">
        <v>1514</v>
      </c>
    </row>
    <row r="251" spans="1:4">
      <c r="C251" s="33">
        <v>6000</v>
      </c>
      <c r="D251" s="43" t="s">
        <v>1515</v>
      </c>
    </row>
    <row r="252" spans="1:4">
      <c r="B252" s="24">
        <v>4500</v>
      </c>
      <c r="D252" s="43" t="s">
        <v>1516</v>
      </c>
    </row>
    <row r="253" spans="1:4">
      <c r="A253" s="20">
        <v>44723</v>
      </c>
      <c r="B253" s="24">
        <v>6000</v>
      </c>
      <c r="D253" s="43" t="s">
        <v>1517</v>
      </c>
    </row>
    <row r="254" spans="1:4">
      <c r="A254" s="20">
        <v>44725</v>
      </c>
      <c r="B254" s="24">
        <v>8000</v>
      </c>
      <c r="D254" s="43" t="s">
        <v>1518</v>
      </c>
    </row>
    <row r="255" spans="1:4">
      <c r="A255" s="20">
        <v>44726</v>
      </c>
      <c r="C255" s="33">
        <v>5010</v>
      </c>
      <c r="D255" s="43" t="s">
        <v>1519</v>
      </c>
    </row>
    <row r="256" spans="1:4">
      <c r="B256" s="24">
        <v>22650</v>
      </c>
      <c r="C256" s="33">
        <v>1359</v>
      </c>
      <c r="D256" s="43" t="s">
        <v>1520</v>
      </c>
    </row>
    <row r="257" spans="1:4">
      <c r="B257" s="24">
        <v>3000</v>
      </c>
      <c r="D257" s="43" t="s">
        <v>1521</v>
      </c>
    </row>
    <row r="258" spans="1:4">
      <c r="A258" s="20">
        <v>44727</v>
      </c>
      <c r="C258" s="33">
        <v>4090</v>
      </c>
      <c r="D258" s="43" t="s">
        <v>1522</v>
      </c>
    </row>
    <row r="259" spans="1:4">
      <c r="B259" s="24">
        <v>7500</v>
      </c>
      <c r="D259" s="43" t="s">
        <v>1523</v>
      </c>
    </row>
    <row r="260" spans="1:4">
      <c r="B260" s="24">
        <v>7000</v>
      </c>
      <c r="D260" s="43" t="s">
        <v>1524</v>
      </c>
    </row>
    <row r="261" spans="1:4">
      <c r="B261" s="24">
        <v>46000</v>
      </c>
      <c r="C261" s="33">
        <v>2760</v>
      </c>
      <c r="D261" s="43" t="s">
        <v>1525</v>
      </c>
    </row>
    <row r="262" spans="1:4">
      <c r="C262" s="33">
        <v>9000</v>
      </c>
      <c r="D262" s="43" t="s">
        <v>1526</v>
      </c>
    </row>
    <row r="263" spans="1:4">
      <c r="B263" s="24">
        <v>12500</v>
      </c>
      <c r="D263" s="43" t="s">
        <v>1527</v>
      </c>
    </row>
    <row r="264" spans="1:4">
      <c r="A264" s="20">
        <v>44731</v>
      </c>
      <c r="B264" s="24">
        <v>2000</v>
      </c>
      <c r="D264" s="43" t="s">
        <v>1528</v>
      </c>
    </row>
    <row r="265" spans="1:4">
      <c r="A265" s="20">
        <v>44732</v>
      </c>
      <c r="C265" s="33">
        <v>1050</v>
      </c>
      <c r="D265" s="43" t="s">
        <v>1529</v>
      </c>
    </row>
    <row r="266" spans="1:4">
      <c r="C266" s="33">
        <v>10000</v>
      </c>
      <c r="D266" s="43" t="s">
        <v>1310</v>
      </c>
    </row>
    <row r="267" spans="1:4">
      <c r="A267" s="20">
        <v>44734</v>
      </c>
      <c r="B267" s="24">
        <v>5000</v>
      </c>
      <c r="D267" s="43" t="s">
        <v>1530</v>
      </c>
    </row>
    <row r="268" spans="1:4">
      <c r="C268" s="33">
        <v>75000</v>
      </c>
      <c r="D268" s="43" t="s">
        <v>1531</v>
      </c>
    </row>
    <row r="269" spans="1:4">
      <c r="A269" s="20">
        <v>44735</v>
      </c>
      <c r="C269" s="33">
        <v>14730</v>
      </c>
      <c r="D269" s="43" t="s">
        <v>1532</v>
      </c>
    </row>
    <row r="270" spans="1:4">
      <c r="A270" s="20">
        <v>44739</v>
      </c>
      <c r="B270" s="24">
        <v>19000</v>
      </c>
      <c r="D270" s="43" t="s">
        <v>1533</v>
      </c>
    </row>
    <row r="271" spans="1:4">
      <c r="C271" s="33">
        <v>4230</v>
      </c>
      <c r="D271" s="43" t="s">
        <v>1534</v>
      </c>
    </row>
    <row r="272" spans="1:4">
      <c r="C272" s="33">
        <v>1330</v>
      </c>
      <c r="D272" s="43" t="s">
        <v>1535</v>
      </c>
    </row>
    <row r="273" spans="1:4">
      <c r="A273" s="20">
        <v>44740</v>
      </c>
      <c r="B273" s="24">
        <v>23774</v>
      </c>
      <c r="C273" s="33">
        <v>1665</v>
      </c>
      <c r="D273" s="43" t="s">
        <v>1536</v>
      </c>
    </row>
    <row r="274" spans="1:4">
      <c r="B274" s="24">
        <v>33000</v>
      </c>
      <c r="C274" s="33">
        <v>2310</v>
      </c>
      <c r="D274" s="43" t="s">
        <v>1537</v>
      </c>
    </row>
    <row r="275" spans="1:4">
      <c r="A275" s="20">
        <v>44741</v>
      </c>
      <c r="B275" s="24">
        <v>10000</v>
      </c>
      <c r="D275" s="43" t="s">
        <v>1538</v>
      </c>
    </row>
    <row r="276" spans="1:4">
      <c r="B276" s="24">
        <v>5000</v>
      </c>
      <c r="D276" s="43" t="s">
        <v>1539</v>
      </c>
    </row>
    <row r="277" spans="1:4">
      <c r="C277" s="33">
        <v>11700</v>
      </c>
      <c r="D277" s="43" t="s">
        <v>1540</v>
      </c>
    </row>
    <row r="278" spans="1:4">
      <c r="B278" s="24">
        <v>7500</v>
      </c>
      <c r="D278" s="43" t="s">
        <v>1541</v>
      </c>
    </row>
    <row r="279" spans="1:4">
      <c r="A279" s="20">
        <v>44742</v>
      </c>
      <c r="C279" s="33">
        <v>6756</v>
      </c>
      <c r="D279" s="43" t="s">
        <v>1542</v>
      </c>
    </row>
    <row r="280" spans="1:4">
      <c r="B280" s="24">
        <v>2200</v>
      </c>
      <c r="C280" s="33">
        <v>132</v>
      </c>
      <c r="D280" s="43" t="s">
        <v>1543</v>
      </c>
    </row>
    <row r="281" spans="1:4">
      <c r="B281" s="24">
        <v>23000</v>
      </c>
      <c r="C281" s="33">
        <v>1380</v>
      </c>
      <c r="D281" s="43" t="s">
        <v>1544</v>
      </c>
    </row>
    <row r="282" spans="1:4">
      <c r="B282" s="24">
        <v>2000</v>
      </c>
      <c r="D282" s="43" t="s">
        <v>1545</v>
      </c>
    </row>
    <row r="283" spans="1:4">
      <c r="A283" s="20">
        <v>44743</v>
      </c>
      <c r="B283" s="24">
        <v>3000</v>
      </c>
      <c r="D283" s="43" t="s">
        <v>1546</v>
      </c>
    </row>
    <row r="284" spans="1:4">
      <c r="A284" s="20">
        <v>44746</v>
      </c>
      <c r="C284" s="33">
        <v>5300</v>
      </c>
      <c r="D284" s="43" t="s">
        <v>1547</v>
      </c>
    </row>
    <row r="285" spans="1:4">
      <c r="B285" s="24">
        <v>7000</v>
      </c>
      <c r="D285" s="43" t="s">
        <v>1548</v>
      </c>
    </row>
    <row r="286" spans="1:4">
      <c r="B286" s="24">
        <v>48100</v>
      </c>
      <c r="C286" s="33">
        <v>2886</v>
      </c>
      <c r="D286" s="43" t="s">
        <v>1549</v>
      </c>
    </row>
    <row r="287" spans="1:4">
      <c r="B287" s="24">
        <v>75600</v>
      </c>
      <c r="C287" s="33">
        <v>4536</v>
      </c>
      <c r="D287" s="43" t="s">
        <v>1550</v>
      </c>
    </row>
    <row r="288" spans="1:4">
      <c r="C288" s="33">
        <v>6500</v>
      </c>
      <c r="D288" s="43" t="s">
        <v>1551</v>
      </c>
    </row>
    <row r="289" spans="1:4">
      <c r="A289" s="20">
        <v>44747</v>
      </c>
      <c r="C289" s="33">
        <v>7500</v>
      </c>
      <c r="D289" s="43" t="s">
        <v>1552</v>
      </c>
    </row>
    <row r="290" spans="1:4">
      <c r="C290" s="33">
        <v>38200</v>
      </c>
      <c r="D290" s="43" t="s">
        <v>1553</v>
      </c>
    </row>
    <row r="291" spans="1:4">
      <c r="C291" s="33">
        <v>2500</v>
      </c>
      <c r="D291" s="43" t="s">
        <v>1554</v>
      </c>
    </row>
    <row r="292" spans="1:4">
      <c r="B292" s="24">
        <v>39000</v>
      </c>
      <c r="C292" s="33">
        <v>2340</v>
      </c>
      <c r="D292" s="43" t="s">
        <v>1555</v>
      </c>
    </row>
    <row r="293" spans="1:4">
      <c r="A293" s="20">
        <v>44750</v>
      </c>
      <c r="B293" s="24">
        <v>7000</v>
      </c>
      <c r="D293" s="43" t="s">
        <v>1556</v>
      </c>
    </row>
    <row r="294" spans="1:4">
      <c r="B294" s="24">
        <v>12000</v>
      </c>
      <c r="C294" s="33">
        <v>700</v>
      </c>
      <c r="D294" s="43" t="s">
        <v>1557</v>
      </c>
    </row>
    <row r="295" spans="1:4">
      <c r="C295" s="33">
        <v>2376</v>
      </c>
      <c r="D295" s="43" t="s">
        <v>1558</v>
      </c>
    </row>
    <row r="296" spans="1:4">
      <c r="A296" s="20" t="s">
        <v>1559</v>
      </c>
      <c r="B296" s="24">
        <v>3500</v>
      </c>
      <c r="D296" s="43" t="s">
        <v>1560</v>
      </c>
    </row>
    <row r="297" spans="1:4">
      <c r="C297" s="33">
        <v>67000</v>
      </c>
      <c r="D297" s="43" t="s">
        <v>1561</v>
      </c>
    </row>
    <row r="298" spans="1:4">
      <c r="C298" s="33">
        <v>2700</v>
      </c>
      <c r="D298" s="43" t="s">
        <v>1562</v>
      </c>
    </row>
    <row r="299" spans="1:4">
      <c r="A299" s="20">
        <v>44754</v>
      </c>
      <c r="B299" s="24">
        <v>4000</v>
      </c>
      <c r="C299" s="33">
        <v>300</v>
      </c>
      <c r="D299" s="43" t="s">
        <v>1563</v>
      </c>
    </row>
    <row r="300" spans="1:4">
      <c r="C300" s="33">
        <v>2500</v>
      </c>
      <c r="D300" s="84" t="s">
        <v>1564</v>
      </c>
    </row>
    <row r="301" spans="1:4">
      <c r="C301" s="33">
        <v>7233</v>
      </c>
      <c r="D301" s="43" t="s">
        <v>1565</v>
      </c>
    </row>
    <row r="302" spans="1:4">
      <c r="C302" s="33">
        <v>500</v>
      </c>
      <c r="D302" s="43" t="s">
        <v>1566</v>
      </c>
    </row>
    <row r="303" spans="1:4">
      <c r="C303" s="33">
        <v>350</v>
      </c>
      <c r="D303" s="43" t="s">
        <v>1567</v>
      </c>
    </row>
    <row r="304" spans="1:4">
      <c r="A304" s="20">
        <v>44759</v>
      </c>
      <c r="B304" s="24">
        <v>6000</v>
      </c>
      <c r="D304" s="43" t="s">
        <v>1568</v>
      </c>
    </row>
    <row r="305" spans="1:4">
      <c r="B305" s="24">
        <v>4000</v>
      </c>
      <c r="D305" s="43" t="s">
        <v>1569</v>
      </c>
    </row>
    <row r="306" spans="1:4">
      <c r="B306" s="24">
        <v>6000</v>
      </c>
      <c r="D306" s="43" t="s">
        <v>1570</v>
      </c>
    </row>
    <row r="307" spans="1:4">
      <c r="B307" s="24">
        <v>5000</v>
      </c>
      <c r="D307" s="43" t="s">
        <v>1571</v>
      </c>
    </row>
    <row r="308" spans="1:4">
      <c r="A308" s="20">
        <v>44760</v>
      </c>
      <c r="C308" s="33">
        <v>2300</v>
      </c>
      <c r="D308" s="43" t="s">
        <v>1572</v>
      </c>
    </row>
    <row r="309" spans="1:4">
      <c r="C309" s="33">
        <v>5000</v>
      </c>
      <c r="D309" s="43" t="s">
        <v>1573</v>
      </c>
    </row>
    <row r="310" spans="1:4">
      <c r="C310" s="33">
        <v>5338</v>
      </c>
      <c r="D310" s="43" t="s">
        <v>1574</v>
      </c>
    </row>
    <row r="311" spans="1:4">
      <c r="C311" s="33">
        <v>6227</v>
      </c>
      <c r="D311" s="43" t="s">
        <v>1575</v>
      </c>
    </row>
    <row r="312" spans="1:4">
      <c r="B312" s="24">
        <v>2000</v>
      </c>
      <c r="D312" s="43" t="s">
        <v>1576</v>
      </c>
    </row>
    <row r="313" spans="1:4">
      <c r="B313" s="24">
        <v>10500</v>
      </c>
      <c r="C313" s="33">
        <v>500</v>
      </c>
      <c r="D313" s="43" t="s">
        <v>1577</v>
      </c>
    </row>
    <row r="314" spans="1:4">
      <c r="A314" s="20">
        <v>44763</v>
      </c>
      <c r="B314" s="24">
        <v>4000</v>
      </c>
      <c r="D314" s="43" t="s">
        <v>1578</v>
      </c>
    </row>
    <row r="315" spans="1:4">
      <c r="B315" s="24">
        <v>3000</v>
      </c>
      <c r="D315" s="43" t="s">
        <v>1579</v>
      </c>
    </row>
    <row r="316" spans="1:4">
      <c r="C316" s="33">
        <v>9700</v>
      </c>
      <c r="D316" s="43" t="s">
        <v>1580</v>
      </c>
    </row>
    <row r="317" spans="1:4">
      <c r="A317" s="20">
        <v>44765</v>
      </c>
      <c r="C317" s="33">
        <v>41800</v>
      </c>
      <c r="D317" s="43" t="s">
        <v>1581</v>
      </c>
    </row>
    <row r="318" spans="1:4">
      <c r="A318" s="20">
        <v>44766</v>
      </c>
      <c r="C318" s="33">
        <v>1188</v>
      </c>
      <c r="D318" s="43" t="s">
        <v>1582</v>
      </c>
    </row>
    <row r="319" spans="1:4">
      <c r="A319" s="20">
        <v>44768</v>
      </c>
      <c r="B319" s="24">
        <v>3000</v>
      </c>
      <c r="D319" s="43" t="s">
        <v>1583</v>
      </c>
    </row>
    <row r="320" spans="1:4">
      <c r="A320" s="20">
        <v>44769</v>
      </c>
      <c r="B320" s="24">
        <v>52800</v>
      </c>
      <c r="C320" s="33">
        <v>3168</v>
      </c>
      <c r="D320" s="43" t="s">
        <v>1588</v>
      </c>
    </row>
    <row r="321" spans="1:4">
      <c r="B321" s="24">
        <v>8000</v>
      </c>
      <c r="D321" s="43" t="s">
        <v>1589</v>
      </c>
    </row>
    <row r="322" spans="1:4">
      <c r="A322" s="20">
        <v>44770</v>
      </c>
      <c r="C322" s="33">
        <v>2500</v>
      </c>
      <c r="D322" s="43" t="s">
        <v>1590</v>
      </c>
    </row>
    <row r="323" spans="1:4">
      <c r="C323" s="33">
        <v>5300</v>
      </c>
      <c r="D323" s="43" t="s">
        <v>1591</v>
      </c>
    </row>
    <row r="324" spans="1:4">
      <c r="A324" s="20">
        <v>44771</v>
      </c>
      <c r="C324" s="33">
        <v>6700</v>
      </c>
      <c r="D324" s="43" t="s">
        <v>1592</v>
      </c>
    </row>
    <row r="325" spans="1:4">
      <c r="B325" s="24">
        <v>10000</v>
      </c>
      <c r="D325" s="43" t="s">
        <v>1593</v>
      </c>
    </row>
    <row r="326" spans="1:4">
      <c r="A326" s="20">
        <v>44772</v>
      </c>
      <c r="C326" s="33">
        <v>100000</v>
      </c>
      <c r="D326" s="43" t="s">
        <v>1594</v>
      </c>
    </row>
    <row r="327" spans="1:4">
      <c r="A327" s="20">
        <v>44774</v>
      </c>
      <c r="B327" s="24">
        <v>7233</v>
      </c>
      <c r="D327" s="43" t="s">
        <v>1595</v>
      </c>
    </row>
    <row r="328" spans="1:4">
      <c r="C328" s="33">
        <v>38200</v>
      </c>
      <c r="D328" s="43" t="s">
        <v>439</v>
      </c>
    </row>
    <row r="329" spans="1:4">
      <c r="C329" s="33">
        <v>6694</v>
      </c>
      <c r="D329" s="43" t="s">
        <v>1596</v>
      </c>
    </row>
    <row r="330" spans="1:4">
      <c r="A330" s="20">
        <v>44775</v>
      </c>
      <c r="B330" s="24">
        <v>28000</v>
      </c>
      <c r="C330" s="33">
        <v>1680</v>
      </c>
      <c r="D330" s="43" t="s">
        <v>1597</v>
      </c>
    </row>
    <row r="331" spans="1:4">
      <c r="A331" s="20">
        <v>44776</v>
      </c>
      <c r="B331" s="24">
        <v>6000</v>
      </c>
      <c r="C331" s="33">
        <v>600</v>
      </c>
      <c r="D331" s="43" t="s">
        <v>1598</v>
      </c>
    </row>
    <row r="332" spans="1:4">
      <c r="A332" s="20">
        <v>44777</v>
      </c>
      <c r="C332" s="33">
        <v>1500</v>
      </c>
      <c r="D332" s="43" t="s">
        <v>904</v>
      </c>
    </row>
    <row r="333" spans="1:4">
      <c r="C333" s="33">
        <v>18350</v>
      </c>
      <c r="D333" s="43" t="s">
        <v>1599</v>
      </c>
    </row>
    <row r="334" spans="1:4">
      <c r="C334" s="33">
        <v>14321</v>
      </c>
      <c r="D334" s="43" t="s">
        <v>1600</v>
      </c>
    </row>
    <row r="335" spans="1:4">
      <c r="A335" s="20">
        <v>44793</v>
      </c>
      <c r="C335" s="33">
        <v>900</v>
      </c>
      <c r="D335" s="43" t="s">
        <v>1601</v>
      </c>
    </row>
    <row r="336" spans="1:4">
      <c r="C336" s="33">
        <v>900</v>
      </c>
      <c r="D336" s="43" t="s">
        <v>1602</v>
      </c>
    </row>
    <row r="337" spans="1:4">
      <c r="B337" s="24">
        <v>6000</v>
      </c>
      <c r="C337" s="33">
        <v>320</v>
      </c>
      <c r="D337" s="43" t="s">
        <v>1603</v>
      </c>
    </row>
    <row r="338" spans="1:4">
      <c r="A338" s="20">
        <v>44795</v>
      </c>
      <c r="B338" s="24">
        <v>3000</v>
      </c>
      <c r="D338" s="43" t="s">
        <v>1468</v>
      </c>
    </row>
    <row r="339" spans="1:4">
      <c r="B339" s="24">
        <v>2000</v>
      </c>
      <c r="D339" s="43" t="s">
        <v>1604</v>
      </c>
    </row>
    <row r="340" spans="1:4">
      <c r="C340" s="33">
        <v>1000</v>
      </c>
      <c r="D340" s="43" t="s">
        <v>1605</v>
      </c>
    </row>
    <row r="341" spans="1:4">
      <c r="A341" s="20">
        <v>44798</v>
      </c>
      <c r="C341" s="33">
        <v>2050</v>
      </c>
      <c r="D341" s="43" t="s">
        <v>1606</v>
      </c>
    </row>
    <row r="342" spans="1:4">
      <c r="B342" s="24">
        <v>12500</v>
      </c>
      <c r="C342" s="33">
        <v>750</v>
      </c>
      <c r="D342" s="43" t="s">
        <v>1607</v>
      </c>
    </row>
    <row r="343" spans="1:4">
      <c r="B343" s="24">
        <v>2000</v>
      </c>
      <c r="D343" s="43" t="s">
        <v>1608</v>
      </c>
    </row>
    <row r="344" spans="1:4">
      <c r="A344" s="20">
        <v>44804</v>
      </c>
      <c r="B344" s="24">
        <v>2000</v>
      </c>
      <c r="D344" s="43" t="s">
        <v>1609</v>
      </c>
    </row>
    <row r="345" spans="1:4">
      <c r="B345" s="24">
        <v>23000</v>
      </c>
      <c r="C345" s="33">
        <v>1380</v>
      </c>
      <c r="D345" s="43" t="s">
        <v>1610</v>
      </c>
    </row>
    <row r="346" spans="1:4">
      <c r="B346" s="24">
        <v>375000</v>
      </c>
      <c r="C346" s="33">
        <v>22500</v>
      </c>
      <c r="D346" s="43" t="s">
        <v>1611</v>
      </c>
    </row>
    <row r="347" spans="1:4">
      <c r="C347" s="33">
        <v>5000</v>
      </c>
      <c r="D347" s="43" t="s">
        <v>1612</v>
      </c>
    </row>
    <row r="348" spans="1:4">
      <c r="A348" s="20">
        <v>44805</v>
      </c>
      <c r="C348" s="33">
        <v>619.5</v>
      </c>
      <c r="D348" s="43" t="s">
        <v>1613</v>
      </c>
    </row>
    <row r="349" spans="1:4">
      <c r="A349" s="20">
        <v>44806</v>
      </c>
      <c r="C349" s="33">
        <v>3820</v>
      </c>
      <c r="D349" s="43" t="s">
        <v>1614</v>
      </c>
    </row>
    <row r="350" spans="1:4">
      <c r="C350" s="33">
        <v>2000</v>
      </c>
      <c r="D350" s="43" t="s">
        <v>1615</v>
      </c>
    </row>
    <row r="351" spans="1:4">
      <c r="A351" s="20">
        <v>44685</v>
      </c>
      <c r="C351" s="33">
        <v>32800</v>
      </c>
      <c r="D351" s="43" t="s">
        <v>1616</v>
      </c>
    </row>
    <row r="352" spans="1:4">
      <c r="C352" s="33">
        <v>5250</v>
      </c>
      <c r="D352" s="43" t="s">
        <v>322</v>
      </c>
    </row>
    <row r="353" spans="1:4">
      <c r="A353" s="20">
        <v>44809</v>
      </c>
      <c r="C353" s="33">
        <v>11100</v>
      </c>
      <c r="D353" s="43" t="s">
        <v>1617</v>
      </c>
    </row>
    <row r="354" spans="1:4">
      <c r="A354" s="20">
        <v>44810</v>
      </c>
      <c r="C354" s="33">
        <v>5200</v>
      </c>
      <c r="D354" s="43" t="s">
        <v>1618</v>
      </c>
    </row>
    <row r="355" spans="1:4">
      <c r="C355" s="33">
        <v>3240</v>
      </c>
      <c r="D355" s="43" t="s">
        <v>1619</v>
      </c>
    </row>
    <row r="356" spans="1:4">
      <c r="B356" s="24">
        <v>26000</v>
      </c>
      <c r="C356" s="33">
        <v>1560</v>
      </c>
      <c r="D356" s="43" t="s">
        <v>1620</v>
      </c>
    </row>
    <row r="357" spans="1:4">
      <c r="C357" s="33">
        <v>21880</v>
      </c>
      <c r="D357" s="43" t="s">
        <v>1621</v>
      </c>
    </row>
    <row r="358" spans="1:4">
      <c r="B358" s="24">
        <v>10000</v>
      </c>
      <c r="C358" s="33">
        <v>600</v>
      </c>
      <c r="D358" s="43" t="s">
        <v>1622</v>
      </c>
    </row>
    <row r="359" spans="1:4">
      <c r="C359" s="33">
        <v>5998</v>
      </c>
      <c r="D359" s="43" t="s">
        <v>1623</v>
      </c>
    </row>
    <row r="360" spans="1:4">
      <c r="A360" s="20">
        <v>44812</v>
      </c>
      <c r="C360" s="33">
        <v>55500</v>
      </c>
      <c r="D360" s="43" t="s">
        <v>1624</v>
      </c>
    </row>
    <row r="361" spans="1:4">
      <c r="A361" s="20">
        <v>44814</v>
      </c>
      <c r="B361" s="24">
        <v>3000</v>
      </c>
      <c r="D361" s="43" t="s">
        <v>1625</v>
      </c>
    </row>
    <row r="362" spans="1:4">
      <c r="A362" s="20">
        <v>44816</v>
      </c>
      <c r="C362" s="33">
        <v>300</v>
      </c>
      <c r="D362" s="43" t="s">
        <v>1626</v>
      </c>
    </row>
    <row r="363" spans="1:4">
      <c r="B363" s="24">
        <v>7000</v>
      </c>
      <c r="D363" s="43" t="s">
        <v>1627</v>
      </c>
    </row>
    <row r="364" spans="1:4">
      <c r="B364" s="24">
        <v>36830</v>
      </c>
      <c r="C364" s="33">
        <v>2210</v>
      </c>
      <c r="D364" s="43" t="s">
        <v>1628</v>
      </c>
    </row>
    <row r="365" spans="1:4">
      <c r="B365" s="24">
        <v>15000</v>
      </c>
      <c r="D365" s="43" t="s">
        <v>1629</v>
      </c>
    </row>
    <row r="366" spans="1:4">
      <c r="C366" s="33">
        <v>5000</v>
      </c>
      <c r="D366" s="43" t="s">
        <v>1630</v>
      </c>
    </row>
    <row r="367" spans="1:4">
      <c r="A367" s="20">
        <v>44818</v>
      </c>
      <c r="B367" s="24">
        <v>3500</v>
      </c>
      <c r="D367" s="43" t="s">
        <v>1631</v>
      </c>
    </row>
    <row r="368" spans="1:4">
      <c r="A368" s="20">
        <v>44819</v>
      </c>
      <c r="B368" s="24">
        <v>72000</v>
      </c>
      <c r="C368" s="33">
        <v>4320</v>
      </c>
      <c r="D368" s="43" t="s">
        <v>1632</v>
      </c>
    </row>
    <row r="369" spans="1:4">
      <c r="C369" s="33">
        <v>2000</v>
      </c>
      <c r="D369" s="43" t="s">
        <v>1633</v>
      </c>
    </row>
    <row r="370" spans="1:4">
      <c r="C370" s="33">
        <v>11500</v>
      </c>
      <c r="D370" s="43" t="s">
        <v>1634</v>
      </c>
    </row>
    <row r="371" spans="1:4">
      <c r="C371" s="33">
        <v>27400</v>
      </c>
      <c r="D371" s="43" t="s">
        <v>1635</v>
      </c>
    </row>
    <row r="372" spans="1:4">
      <c r="A372" s="20">
        <v>44821</v>
      </c>
      <c r="B372" s="24">
        <v>12000</v>
      </c>
      <c r="D372" s="43" t="s">
        <v>1098</v>
      </c>
    </row>
    <row r="373" spans="1:4">
      <c r="A373" s="20">
        <v>44822</v>
      </c>
      <c r="B373" s="24">
        <v>5000</v>
      </c>
      <c r="D373" s="43" t="s">
        <v>1636</v>
      </c>
    </row>
    <row r="374" spans="1:4">
      <c r="A374" s="20">
        <v>44824</v>
      </c>
      <c r="B374" s="24">
        <v>44000</v>
      </c>
      <c r="C374" s="33">
        <v>2640</v>
      </c>
      <c r="D374" s="43" t="s">
        <v>1637</v>
      </c>
    </row>
    <row r="375" spans="1:4">
      <c r="B375" s="24">
        <v>41000</v>
      </c>
      <c r="C375" s="33">
        <v>2460</v>
      </c>
      <c r="D375" s="43" t="s">
        <v>1638</v>
      </c>
    </row>
    <row r="376" spans="1:4">
      <c r="C376" s="33">
        <v>12000</v>
      </c>
      <c r="D376" s="43" t="s">
        <v>1639</v>
      </c>
    </row>
    <row r="377" spans="1:4">
      <c r="A377" s="20">
        <v>44826</v>
      </c>
      <c r="B377" s="24">
        <v>20000</v>
      </c>
      <c r="C377" s="33">
        <v>1200</v>
      </c>
      <c r="D377" s="43" t="s">
        <v>1640</v>
      </c>
    </row>
    <row r="378" spans="1:4">
      <c r="B378" s="24">
        <v>7700</v>
      </c>
      <c r="C378" s="33">
        <v>462</v>
      </c>
      <c r="D378" s="43" t="s">
        <v>1641</v>
      </c>
    </row>
    <row r="379" spans="1:4">
      <c r="B379" s="24">
        <v>10000</v>
      </c>
      <c r="C379" s="33">
        <v>600</v>
      </c>
      <c r="D379" s="43" t="s">
        <v>1642</v>
      </c>
    </row>
    <row r="380" spans="1:4">
      <c r="A380" s="20">
        <v>44827</v>
      </c>
      <c r="C380" s="33">
        <v>13000</v>
      </c>
      <c r="D380" s="43" t="s">
        <v>1643</v>
      </c>
    </row>
    <row r="381" spans="1:4">
      <c r="B381" s="24">
        <v>12000</v>
      </c>
      <c r="C381" s="33">
        <v>720</v>
      </c>
      <c r="D381" s="43" t="s">
        <v>1644</v>
      </c>
    </row>
    <row r="382" spans="1:4">
      <c r="A382" s="20">
        <v>44830</v>
      </c>
      <c r="B382" s="24">
        <v>2000</v>
      </c>
      <c r="D382" s="43" t="s">
        <v>1645</v>
      </c>
    </row>
    <row r="383" spans="1:4">
      <c r="C383" s="33">
        <v>34000</v>
      </c>
      <c r="D383" s="43" t="s">
        <v>1646</v>
      </c>
    </row>
    <row r="384" spans="1:4">
      <c r="C384" s="33">
        <v>4080</v>
      </c>
      <c r="D384" s="43" t="s">
        <v>1647</v>
      </c>
    </row>
    <row r="385" spans="1:4">
      <c r="C385" s="33">
        <v>10000</v>
      </c>
      <c r="D385" s="43" t="s">
        <v>1648</v>
      </c>
    </row>
    <row r="386" spans="1:4">
      <c r="A386" s="20">
        <v>44832</v>
      </c>
      <c r="B386" s="24">
        <v>8000</v>
      </c>
      <c r="D386" s="43" t="s">
        <v>1649</v>
      </c>
    </row>
    <row r="387" spans="1:4">
      <c r="B387" s="24">
        <v>26000</v>
      </c>
      <c r="C387" s="33">
        <v>1560</v>
      </c>
      <c r="D387" s="43" t="s">
        <v>1650</v>
      </c>
    </row>
    <row r="388" spans="1:4">
      <c r="A388" s="20">
        <v>44834</v>
      </c>
      <c r="C388" s="33">
        <v>25800</v>
      </c>
      <c r="D388" s="43" t="s">
        <v>1651</v>
      </c>
    </row>
    <row r="389" spans="1:4">
      <c r="C389" s="33">
        <v>3500</v>
      </c>
      <c r="D389" s="43" t="s">
        <v>1652</v>
      </c>
    </row>
    <row r="390" spans="1:4">
      <c r="A390" s="20">
        <v>44835</v>
      </c>
      <c r="C390" s="33">
        <v>1000</v>
      </c>
      <c r="D390" s="43" t="s">
        <v>1653</v>
      </c>
    </row>
    <row r="391" spans="1:4">
      <c r="C391" s="33">
        <v>4500</v>
      </c>
      <c r="D391" s="43" t="s">
        <v>1654</v>
      </c>
    </row>
    <row r="392" spans="1:4">
      <c r="A392" s="20">
        <v>44836</v>
      </c>
      <c r="C392" s="33">
        <v>1200</v>
      </c>
      <c r="D392" s="43" t="s">
        <v>1655</v>
      </c>
    </row>
    <row r="393" spans="1:4">
      <c r="A393" s="20">
        <v>44837</v>
      </c>
      <c r="B393" s="24">
        <v>2000</v>
      </c>
      <c r="D393" s="43" t="s">
        <v>1656</v>
      </c>
    </row>
    <row r="394" spans="1:4">
      <c r="B394" s="24">
        <v>12000</v>
      </c>
      <c r="D394" s="43" t="s">
        <v>1636</v>
      </c>
    </row>
    <row r="395" spans="1:4">
      <c r="A395" s="20">
        <v>44838</v>
      </c>
      <c r="C395" s="33">
        <v>50000</v>
      </c>
      <c r="D395" s="43" t="s">
        <v>1657</v>
      </c>
    </row>
    <row r="396" spans="1:4">
      <c r="B396" s="24">
        <v>10000</v>
      </c>
      <c r="D396" s="43" t="s">
        <v>1658</v>
      </c>
    </row>
    <row r="397" spans="1:4">
      <c r="C397" s="33">
        <v>10000</v>
      </c>
      <c r="D397" s="43" t="s">
        <v>1659</v>
      </c>
    </row>
    <row r="398" spans="1:4">
      <c r="B398" s="24">
        <v>5000</v>
      </c>
      <c r="D398" s="43" t="s">
        <v>1660</v>
      </c>
    </row>
    <row r="399" spans="1:4">
      <c r="C399" s="33">
        <v>3094</v>
      </c>
      <c r="D399" s="43" t="s">
        <v>1661</v>
      </c>
    </row>
    <row r="400" spans="1:4">
      <c r="B400" s="24">
        <v>4000</v>
      </c>
      <c r="D400" s="43" t="s">
        <v>1662</v>
      </c>
    </row>
    <row r="401" spans="1:4">
      <c r="A401" s="20">
        <v>44840</v>
      </c>
      <c r="C401" s="33">
        <v>37000</v>
      </c>
      <c r="D401" s="43" t="s">
        <v>1663</v>
      </c>
    </row>
    <row r="402" spans="1:4">
      <c r="C402" s="33">
        <v>32800</v>
      </c>
      <c r="D402" s="43" t="s">
        <v>1664</v>
      </c>
    </row>
    <row r="403" spans="1:4">
      <c r="C403" s="33">
        <v>5988</v>
      </c>
      <c r="D403" s="43" t="s">
        <v>1665</v>
      </c>
    </row>
    <row r="404" spans="1:4">
      <c r="C404" s="33">
        <v>46800</v>
      </c>
      <c r="D404" s="43" t="s">
        <v>1666</v>
      </c>
    </row>
    <row r="405" spans="1:4">
      <c r="C405" s="33">
        <v>2670</v>
      </c>
      <c r="D405" s="43" t="s">
        <v>1667</v>
      </c>
    </row>
    <row r="406" spans="1:4">
      <c r="A406" s="20">
        <v>44844</v>
      </c>
      <c r="B406" s="24">
        <v>18000</v>
      </c>
      <c r="D406" s="43" t="s">
        <v>1668</v>
      </c>
    </row>
    <row r="407" spans="1:4">
      <c r="B407" s="24">
        <v>2000</v>
      </c>
      <c r="D407" s="43" t="s">
        <v>1669</v>
      </c>
    </row>
    <row r="408" spans="1:4">
      <c r="C408" s="33">
        <v>30000</v>
      </c>
      <c r="D408" s="43" t="s">
        <v>1646</v>
      </c>
    </row>
    <row r="409" spans="1:4">
      <c r="C409" s="33">
        <v>3500</v>
      </c>
      <c r="D409" s="43" t="s">
        <v>1646</v>
      </c>
    </row>
    <row r="410" spans="1:4">
      <c r="C410" s="33">
        <v>7500</v>
      </c>
      <c r="D410" s="43" t="s">
        <v>74</v>
      </c>
    </row>
    <row r="411" spans="1:4">
      <c r="C411" s="33">
        <v>16000</v>
      </c>
      <c r="D411" s="43" t="s">
        <v>1670</v>
      </c>
    </row>
    <row r="412" spans="1:4">
      <c r="C412" s="33">
        <v>12000</v>
      </c>
      <c r="D412" s="43" t="s">
        <v>1671</v>
      </c>
    </row>
    <row r="413" spans="1:4">
      <c r="A413" s="20">
        <v>41193</v>
      </c>
      <c r="B413" s="24">
        <v>4000</v>
      </c>
      <c r="D413" s="43" t="s">
        <v>1672</v>
      </c>
    </row>
    <row r="414" spans="1:4">
      <c r="C414" s="33">
        <v>6700</v>
      </c>
      <c r="D414" s="43" t="s">
        <v>1673</v>
      </c>
    </row>
    <row r="415" spans="1:4">
      <c r="C415" s="33">
        <v>800</v>
      </c>
      <c r="D415" s="43" t="s">
        <v>1674</v>
      </c>
    </row>
    <row r="416" spans="1:4">
      <c r="B416" s="24">
        <v>35000</v>
      </c>
      <c r="C416" s="33">
        <v>2100</v>
      </c>
      <c r="D416" s="43" t="s">
        <v>1675</v>
      </c>
    </row>
    <row r="417" spans="1:4">
      <c r="A417" s="20">
        <v>44846</v>
      </c>
      <c r="C417" s="33">
        <v>5000</v>
      </c>
      <c r="D417" s="43" t="s">
        <v>1676</v>
      </c>
    </row>
    <row r="418" spans="1:4">
      <c r="B418" s="24">
        <v>7200</v>
      </c>
      <c r="C418" s="33">
        <v>432</v>
      </c>
      <c r="D418" s="43" t="s">
        <v>1677</v>
      </c>
    </row>
    <row r="419" spans="1:4">
      <c r="A419" s="20">
        <v>44117</v>
      </c>
      <c r="C419" s="33">
        <v>8500</v>
      </c>
      <c r="D419" s="43" t="s">
        <v>1678</v>
      </c>
    </row>
    <row r="420" spans="1:4">
      <c r="A420" s="20">
        <v>44848</v>
      </c>
      <c r="B420" s="24">
        <v>20000</v>
      </c>
      <c r="C420" s="33">
        <v>1200</v>
      </c>
      <c r="D420" s="43" t="s">
        <v>1679</v>
      </c>
    </row>
    <row r="421" spans="1:4">
      <c r="A421" s="20">
        <v>44851</v>
      </c>
      <c r="B421" s="24">
        <v>80000</v>
      </c>
      <c r="C421" s="33">
        <v>4800</v>
      </c>
      <c r="D421" s="43" t="s">
        <v>1680</v>
      </c>
    </row>
    <row r="422" spans="1:4">
      <c r="B422" s="24">
        <v>59900</v>
      </c>
      <c r="C422" s="33">
        <v>3600</v>
      </c>
      <c r="D422" s="43" t="s">
        <v>1681</v>
      </c>
    </row>
    <row r="423" spans="1:4">
      <c r="B423" s="24">
        <v>54500</v>
      </c>
      <c r="C423" s="33">
        <v>3270</v>
      </c>
      <c r="D423" s="43" t="s">
        <v>1682</v>
      </c>
    </row>
    <row r="424" spans="1:4">
      <c r="A424" s="20">
        <v>44852</v>
      </c>
      <c r="C424" s="33">
        <v>20000</v>
      </c>
      <c r="D424" s="43" t="s">
        <v>1683</v>
      </c>
    </row>
    <row r="425" spans="1:4">
      <c r="C425" s="33">
        <v>2360</v>
      </c>
      <c r="D425" s="43" t="s">
        <v>1684</v>
      </c>
    </row>
    <row r="426" spans="1:4">
      <c r="A426" s="20">
        <v>44853</v>
      </c>
      <c r="C426" s="33">
        <v>5500</v>
      </c>
      <c r="D426" s="43" t="s">
        <v>1685</v>
      </c>
    </row>
    <row r="427" spans="1:4">
      <c r="B427" s="24">
        <v>15000</v>
      </c>
      <c r="C427" s="33">
        <v>900</v>
      </c>
      <c r="D427" s="43" t="s">
        <v>1687</v>
      </c>
    </row>
    <row r="428" spans="1:4">
      <c r="B428" s="24">
        <v>20000</v>
      </c>
      <c r="C428" s="33">
        <v>1200</v>
      </c>
      <c r="D428" s="43" t="s">
        <v>1686</v>
      </c>
    </row>
    <row r="429" spans="1:4">
      <c r="A429" s="20">
        <v>44854</v>
      </c>
      <c r="B429" s="24">
        <v>6600</v>
      </c>
      <c r="C429" s="33">
        <v>396</v>
      </c>
      <c r="D429" s="43" t="s">
        <v>1688</v>
      </c>
    </row>
    <row r="430" spans="1:4">
      <c r="B430" s="24">
        <v>4400</v>
      </c>
      <c r="C430" s="33">
        <v>264</v>
      </c>
      <c r="D430" s="43" t="s">
        <v>1689</v>
      </c>
    </row>
    <row r="431" spans="1:4">
      <c r="C431" s="33">
        <v>11359</v>
      </c>
      <c r="D431" s="43" t="s">
        <v>1690</v>
      </c>
    </row>
    <row r="432" spans="1:4">
      <c r="C432" s="33">
        <v>11820</v>
      </c>
      <c r="D432" s="43" t="s">
        <v>1690</v>
      </c>
    </row>
    <row r="433" spans="1:4">
      <c r="A433" s="20">
        <v>44856</v>
      </c>
      <c r="C433" s="33">
        <v>3000</v>
      </c>
      <c r="D433" s="43" t="s">
        <v>1691</v>
      </c>
    </row>
    <row r="434" spans="1:4">
      <c r="C434" s="33">
        <v>2000</v>
      </c>
      <c r="D434" s="43" t="s">
        <v>1692</v>
      </c>
    </row>
    <row r="435" spans="1:4">
      <c r="C435" s="33">
        <v>7000</v>
      </c>
      <c r="D435" s="43" t="s">
        <v>1693</v>
      </c>
    </row>
    <row r="436" spans="1:4">
      <c r="C436" s="33">
        <v>1000</v>
      </c>
      <c r="D436" s="43" t="s">
        <v>1694</v>
      </c>
    </row>
    <row r="437" spans="1:4">
      <c r="B437" s="24">
        <v>71300</v>
      </c>
      <c r="C437" s="33">
        <v>4278</v>
      </c>
      <c r="D437" s="43" t="s">
        <v>1695</v>
      </c>
    </row>
    <row r="438" spans="1:4">
      <c r="C438" s="33">
        <v>11359</v>
      </c>
      <c r="D438" s="43" t="s">
        <v>1695</v>
      </c>
    </row>
    <row r="439" spans="1:4">
      <c r="C439" s="33">
        <v>11820</v>
      </c>
      <c r="D439" s="43" t="s">
        <v>1695</v>
      </c>
    </row>
    <row r="440" spans="1:4">
      <c r="C440" s="33">
        <v>45266</v>
      </c>
      <c r="D440" s="43" t="s">
        <v>1695</v>
      </c>
    </row>
    <row r="441" spans="1:4">
      <c r="C441" s="33">
        <v>1860</v>
      </c>
      <c r="D441" s="43" t="s">
        <v>1696</v>
      </c>
    </row>
    <row r="442" spans="1:4">
      <c r="C442" s="33">
        <v>30000</v>
      </c>
      <c r="D442" s="43" t="s">
        <v>1697</v>
      </c>
    </row>
    <row r="443" spans="1:4">
      <c r="A443" s="20">
        <v>44859</v>
      </c>
      <c r="C443" s="33">
        <v>3000</v>
      </c>
      <c r="D443" s="43" t="s">
        <v>1698</v>
      </c>
    </row>
    <row r="444" spans="1:4">
      <c r="C444" s="33">
        <v>2000</v>
      </c>
      <c r="D444" s="43" t="s">
        <v>1699</v>
      </c>
    </row>
    <row r="445" spans="1:4">
      <c r="B445" s="24">
        <v>6000</v>
      </c>
      <c r="D445" s="43" t="s">
        <v>1700</v>
      </c>
    </row>
    <row r="446" spans="1:4">
      <c r="A446" s="20">
        <v>44860</v>
      </c>
      <c r="B446" s="24">
        <v>37378</v>
      </c>
      <c r="C446" s="33">
        <v>2243</v>
      </c>
      <c r="D446" s="43" t="s">
        <v>1701</v>
      </c>
    </row>
    <row r="447" spans="1:4">
      <c r="B447" s="24">
        <v>6600</v>
      </c>
      <c r="C447" s="33">
        <v>396</v>
      </c>
      <c r="D447" s="43" t="s">
        <v>1702</v>
      </c>
    </row>
    <row r="448" spans="1:4">
      <c r="C448" s="33">
        <v>13416</v>
      </c>
      <c r="D448" s="43" t="s">
        <v>1703</v>
      </c>
    </row>
    <row r="449" spans="1:5">
      <c r="C449" s="33">
        <v>800</v>
      </c>
      <c r="D449" s="43" t="s">
        <v>1704</v>
      </c>
    </row>
    <row r="450" spans="1:5">
      <c r="C450" s="33">
        <v>30462</v>
      </c>
      <c r="D450" s="43" t="s">
        <v>1705</v>
      </c>
    </row>
    <row r="451" spans="1:5">
      <c r="B451" s="24">
        <v>29700</v>
      </c>
      <c r="D451" s="43" t="s">
        <v>1712</v>
      </c>
    </row>
    <row r="452" spans="1:5">
      <c r="C452" s="33">
        <v>23840</v>
      </c>
      <c r="D452" s="43" t="s">
        <v>1706</v>
      </c>
    </row>
    <row r="453" spans="1:5">
      <c r="A453" s="20">
        <v>44862</v>
      </c>
      <c r="C453" s="33">
        <v>673</v>
      </c>
      <c r="D453" s="43" t="s">
        <v>1703</v>
      </c>
      <c r="E453"/>
    </row>
    <row r="454" spans="1:5">
      <c r="C454" s="33">
        <v>500</v>
      </c>
      <c r="D454" s="43" t="s">
        <v>941</v>
      </c>
      <c r="E454"/>
    </row>
    <row r="455" spans="1:5">
      <c r="C455" s="33">
        <v>8400</v>
      </c>
      <c r="D455" s="43" t="s">
        <v>1707</v>
      </c>
      <c r="E455"/>
    </row>
    <row r="456" spans="1:5">
      <c r="A456" s="20">
        <v>44865</v>
      </c>
      <c r="C456" s="33">
        <v>3947</v>
      </c>
      <c r="D456" s="43" t="s">
        <v>1494</v>
      </c>
      <c r="E456"/>
    </row>
    <row r="457" spans="1:5">
      <c r="C457" s="33">
        <v>46500</v>
      </c>
      <c r="D457" s="43" t="s">
        <v>1708</v>
      </c>
      <c r="E457"/>
    </row>
    <row r="458" spans="1:5">
      <c r="C458" s="33">
        <v>1000</v>
      </c>
      <c r="D458" s="43" t="s">
        <v>1694</v>
      </c>
      <c r="E458"/>
    </row>
    <row r="459" spans="1:5">
      <c r="C459" s="33">
        <v>100000</v>
      </c>
      <c r="D459" s="43" t="s">
        <v>1709</v>
      </c>
      <c r="E459"/>
    </row>
    <row r="460" spans="1:5">
      <c r="B460" s="24">
        <v>15000</v>
      </c>
      <c r="C460" s="33">
        <v>900</v>
      </c>
      <c r="D460" s="43" t="s">
        <v>1710</v>
      </c>
    </row>
    <row r="461" spans="1:5">
      <c r="C461" s="33">
        <v>35980</v>
      </c>
      <c r="D461" s="43" t="s">
        <v>1711</v>
      </c>
    </row>
    <row r="462" spans="1:5">
      <c r="A462" s="20">
        <v>44866</v>
      </c>
      <c r="B462" s="24">
        <v>2000</v>
      </c>
      <c r="D462" s="43" t="s">
        <v>1713</v>
      </c>
    </row>
    <row r="463" spans="1:5">
      <c r="B463" s="24">
        <v>10000</v>
      </c>
      <c r="C463" s="33">
        <v>600</v>
      </c>
      <c r="D463" s="43" t="s">
        <v>1714</v>
      </c>
    </row>
    <row r="464" spans="1:5">
      <c r="B464" s="24">
        <v>20000</v>
      </c>
      <c r="C464" s="33">
        <v>1200</v>
      </c>
      <c r="D464" s="43" t="s">
        <v>1714</v>
      </c>
    </row>
    <row r="465" spans="1:4">
      <c r="A465" s="20">
        <v>44867</v>
      </c>
      <c r="C465" s="33">
        <v>4200</v>
      </c>
      <c r="D465" s="43" t="s">
        <v>1715</v>
      </c>
    </row>
    <row r="466" spans="1:4">
      <c r="C466" s="33">
        <v>430</v>
      </c>
      <c r="D466" s="43" t="s">
        <v>1703</v>
      </c>
    </row>
    <row r="467" spans="1:4">
      <c r="C467" s="33">
        <v>18200</v>
      </c>
      <c r="D467" s="43" t="s">
        <v>1716</v>
      </c>
    </row>
    <row r="468" spans="1:4">
      <c r="B468" s="24">
        <v>27000</v>
      </c>
      <c r="C468" s="33">
        <v>1620</v>
      </c>
      <c r="D468" s="43" t="s">
        <v>1717</v>
      </c>
    </row>
    <row r="469" spans="1:4">
      <c r="A469" s="20">
        <v>44868</v>
      </c>
      <c r="C469" s="33">
        <v>38200</v>
      </c>
      <c r="D469" s="43" t="s">
        <v>1718</v>
      </c>
    </row>
    <row r="470" spans="1:4">
      <c r="C470" s="33">
        <v>2913</v>
      </c>
      <c r="D470" s="43" t="s">
        <v>1719</v>
      </c>
    </row>
    <row r="471" spans="1:4">
      <c r="B471" s="24">
        <v>2000</v>
      </c>
      <c r="D471" s="43" t="s">
        <v>1720</v>
      </c>
    </row>
    <row r="472" spans="1:4">
      <c r="A472" s="20">
        <v>44872</v>
      </c>
      <c r="B472" s="24">
        <v>10000</v>
      </c>
      <c r="D472" s="43" t="s">
        <v>1721</v>
      </c>
    </row>
    <row r="473" spans="1:4">
      <c r="C473" s="33">
        <v>11900</v>
      </c>
      <c r="D473" s="43" t="s">
        <v>1722</v>
      </c>
    </row>
    <row r="474" spans="1:4">
      <c r="A474" s="20">
        <v>44876</v>
      </c>
      <c r="B474" s="24">
        <v>31000</v>
      </c>
      <c r="C474" s="33">
        <v>1860</v>
      </c>
      <c r="D474" s="43" t="s">
        <v>1723</v>
      </c>
    </row>
    <row r="475" spans="1:4">
      <c r="B475" s="24">
        <v>28000</v>
      </c>
      <c r="C475" s="33">
        <v>1680</v>
      </c>
      <c r="D475" s="43" t="s">
        <v>1724</v>
      </c>
    </row>
    <row r="476" spans="1:4">
      <c r="B476" s="24">
        <v>20000</v>
      </c>
      <c r="C476" s="33">
        <v>1200</v>
      </c>
      <c r="D476" s="43" t="s">
        <v>1725</v>
      </c>
    </row>
    <row r="477" spans="1:4">
      <c r="B477" s="24">
        <v>27600</v>
      </c>
      <c r="C477" s="33">
        <v>1656</v>
      </c>
      <c r="D477" s="43" t="s">
        <v>1726</v>
      </c>
    </row>
    <row r="478" spans="1:4">
      <c r="B478" s="24">
        <v>15000</v>
      </c>
      <c r="C478" s="33">
        <v>900</v>
      </c>
      <c r="D478" s="43" t="s">
        <v>1727</v>
      </c>
    </row>
    <row r="479" spans="1:4">
      <c r="B479" s="24">
        <v>72000</v>
      </c>
      <c r="C479" s="33">
        <v>4320</v>
      </c>
      <c r="D479" s="43" t="s">
        <v>1728</v>
      </c>
    </row>
    <row r="480" spans="1:4">
      <c r="B480" s="24">
        <v>45000</v>
      </c>
      <c r="C480" s="33">
        <v>2700</v>
      </c>
      <c r="D480" s="43" t="s">
        <v>1729</v>
      </c>
    </row>
    <row r="481" spans="1:4">
      <c r="B481" s="24">
        <v>8000</v>
      </c>
      <c r="C481" s="33">
        <v>480</v>
      </c>
      <c r="D481" s="43" t="s">
        <v>1730</v>
      </c>
    </row>
    <row r="482" spans="1:4">
      <c r="B482" s="24">
        <v>53600</v>
      </c>
      <c r="C482" s="33">
        <v>3216</v>
      </c>
      <c r="D482" s="43" t="s">
        <v>1731</v>
      </c>
    </row>
    <row r="483" spans="1:4">
      <c r="B483" s="24">
        <v>197810</v>
      </c>
      <c r="C483" s="33">
        <v>11869</v>
      </c>
      <c r="D483" s="43" t="s">
        <v>1732</v>
      </c>
    </row>
    <row r="484" spans="1:4">
      <c r="B484" s="24">
        <v>718200</v>
      </c>
      <c r="C484" s="33">
        <v>43092</v>
      </c>
      <c r="D484" s="43" t="s">
        <v>1732</v>
      </c>
    </row>
    <row r="485" spans="1:4">
      <c r="B485" s="24">
        <v>299976.2</v>
      </c>
      <c r="C485" s="33">
        <v>17999</v>
      </c>
      <c r="D485" s="43" t="s">
        <v>1732</v>
      </c>
    </row>
    <row r="486" spans="1:4">
      <c r="C486" s="33">
        <v>300000</v>
      </c>
      <c r="D486" s="43" t="s">
        <v>1733</v>
      </c>
    </row>
    <row r="487" spans="1:4">
      <c r="C487" s="33">
        <v>17500</v>
      </c>
      <c r="D487" s="43" t="s">
        <v>1734</v>
      </c>
    </row>
    <row r="488" spans="1:4">
      <c r="C488" s="33">
        <v>14000</v>
      </c>
      <c r="D488" s="43" t="s">
        <v>1735</v>
      </c>
    </row>
    <row r="489" spans="1:4">
      <c r="C489" s="33">
        <v>2000</v>
      </c>
      <c r="D489" s="43" t="s">
        <v>1736</v>
      </c>
    </row>
    <row r="490" spans="1:4">
      <c r="C490" s="33">
        <v>1500</v>
      </c>
      <c r="D490" s="43" t="s">
        <v>1737</v>
      </c>
    </row>
    <row r="491" spans="1:4">
      <c r="C491" s="33">
        <v>20440</v>
      </c>
      <c r="D491" s="43" t="s">
        <v>1739</v>
      </c>
    </row>
    <row r="492" spans="1:4">
      <c r="A492" s="20">
        <v>44879</v>
      </c>
      <c r="C492" s="33">
        <v>2960</v>
      </c>
      <c r="D492" s="43" t="s">
        <v>1738</v>
      </c>
    </row>
    <row r="493" spans="1:4">
      <c r="A493" s="20">
        <v>44880</v>
      </c>
      <c r="C493" s="33">
        <v>6000</v>
      </c>
      <c r="D493" s="43" t="s">
        <v>1740</v>
      </c>
    </row>
    <row r="494" spans="1:4">
      <c r="C494" s="33">
        <v>14200</v>
      </c>
      <c r="D494" s="43" t="s">
        <v>1741</v>
      </c>
    </row>
    <row r="495" spans="1:4">
      <c r="C495" s="33">
        <v>2000</v>
      </c>
      <c r="D495" s="43" t="s">
        <v>1742</v>
      </c>
    </row>
    <row r="496" spans="1:4">
      <c r="C496" s="33">
        <v>3000</v>
      </c>
      <c r="D496" s="43" t="s">
        <v>1743</v>
      </c>
    </row>
    <row r="497" spans="1:4">
      <c r="A497" s="20">
        <v>44882</v>
      </c>
      <c r="C497" s="33">
        <v>1057000</v>
      </c>
      <c r="D497" s="43" t="s">
        <v>1744</v>
      </c>
    </row>
    <row r="498" spans="1:4">
      <c r="C498" s="33">
        <v>30000</v>
      </c>
      <c r="D498" s="43" t="s">
        <v>362</v>
      </c>
    </row>
    <row r="499" spans="1:4">
      <c r="A499" s="20">
        <v>37581</v>
      </c>
      <c r="B499" s="24">
        <v>15000</v>
      </c>
      <c r="D499" s="43" t="s">
        <v>1745</v>
      </c>
    </row>
    <row r="500" spans="1:4">
      <c r="B500" s="24">
        <v>2000</v>
      </c>
      <c r="D500" s="43" t="s">
        <v>1746</v>
      </c>
    </row>
    <row r="501" spans="1:4">
      <c r="A501" s="20">
        <v>44887</v>
      </c>
      <c r="C501" s="33">
        <v>1480</v>
      </c>
      <c r="D501" s="43" t="s">
        <v>1747</v>
      </c>
    </row>
    <row r="502" spans="1:4">
      <c r="B502" s="24">
        <v>15000</v>
      </c>
      <c r="D502" s="43" t="s">
        <v>1748</v>
      </c>
    </row>
    <row r="503" spans="1:4">
      <c r="B503" s="24">
        <v>30000</v>
      </c>
      <c r="D503" s="43" t="s">
        <v>1749</v>
      </c>
    </row>
    <row r="504" spans="1:4">
      <c r="C504" s="33">
        <v>5000</v>
      </c>
      <c r="D504" s="43" t="s">
        <v>1750</v>
      </c>
    </row>
    <row r="505" spans="1:4">
      <c r="C505" s="33">
        <v>5000</v>
      </c>
      <c r="D505" s="43" t="s">
        <v>1751</v>
      </c>
    </row>
    <row r="506" spans="1:4">
      <c r="C506" s="33">
        <v>20000</v>
      </c>
      <c r="D506" s="43" t="s">
        <v>1752</v>
      </c>
    </row>
    <row r="507" spans="1:4">
      <c r="A507" s="20">
        <v>44888</v>
      </c>
      <c r="C507" s="33">
        <v>13500</v>
      </c>
      <c r="D507" s="43" t="s">
        <v>1753</v>
      </c>
    </row>
    <row r="508" spans="1:4">
      <c r="C508" s="33">
        <v>4500</v>
      </c>
      <c r="D508" s="43" t="s">
        <v>1754</v>
      </c>
    </row>
    <row r="509" spans="1:4">
      <c r="C509" s="33">
        <v>1000</v>
      </c>
      <c r="D509" s="43" t="s">
        <v>1755</v>
      </c>
    </row>
    <row r="510" spans="1:4">
      <c r="A510" s="20">
        <v>44890</v>
      </c>
      <c r="B510" s="24">
        <v>63850</v>
      </c>
      <c r="C510" s="33">
        <v>3831</v>
      </c>
      <c r="D510" s="43" t="s">
        <v>1756</v>
      </c>
    </row>
    <row r="511" spans="1:4">
      <c r="C511" s="33">
        <v>4744</v>
      </c>
      <c r="D511" s="43" t="s">
        <v>1757</v>
      </c>
    </row>
    <row r="512" spans="1:4">
      <c r="C512" s="33">
        <v>5230</v>
      </c>
      <c r="D512" s="43" t="s">
        <v>1757</v>
      </c>
    </row>
    <row r="513" spans="1:4">
      <c r="C513" s="33">
        <v>5000</v>
      </c>
      <c r="D513" s="43" t="s">
        <v>1758</v>
      </c>
    </row>
    <row r="514" spans="1:4">
      <c r="C514" s="33">
        <v>10650</v>
      </c>
      <c r="D514" s="43" t="s">
        <v>1759</v>
      </c>
    </row>
    <row r="515" spans="1:4">
      <c r="C515" s="33">
        <v>1350</v>
      </c>
      <c r="D515" s="43" t="s">
        <v>1760</v>
      </c>
    </row>
    <row r="516" spans="1:4">
      <c r="A516" s="20">
        <v>44893</v>
      </c>
      <c r="C516" s="33">
        <v>3300</v>
      </c>
      <c r="D516" s="43" t="s">
        <v>1761</v>
      </c>
    </row>
    <row r="517" spans="1:4">
      <c r="A517" s="20">
        <v>44894</v>
      </c>
      <c r="B517" s="24">
        <v>40939.699999999997</v>
      </c>
      <c r="C517" s="33">
        <v>2457</v>
      </c>
      <c r="D517" s="43" t="s">
        <v>1762</v>
      </c>
    </row>
    <row r="518" spans="1:4">
      <c r="C518" s="33">
        <v>6376</v>
      </c>
      <c r="D518" s="43" t="s">
        <v>1763</v>
      </c>
    </row>
    <row r="519" spans="1:4">
      <c r="B519" s="24">
        <v>6800</v>
      </c>
      <c r="D519" s="43" t="s">
        <v>1764</v>
      </c>
    </row>
    <row r="520" spans="1:4">
      <c r="B520" s="24">
        <v>5000</v>
      </c>
      <c r="D520" s="43" t="s">
        <v>1765</v>
      </c>
    </row>
    <row r="521" spans="1:4">
      <c r="B521" s="24">
        <v>46200</v>
      </c>
      <c r="C521" s="33">
        <v>2772</v>
      </c>
      <c r="D521" s="43" t="s">
        <v>1766</v>
      </c>
    </row>
    <row r="522" spans="1:4">
      <c r="C522" s="33">
        <v>5705</v>
      </c>
      <c r="D522" s="43" t="s">
        <v>1767</v>
      </c>
    </row>
    <row r="523" spans="1:4">
      <c r="A523" s="20">
        <v>44900</v>
      </c>
      <c r="C523" s="33">
        <v>38200</v>
      </c>
      <c r="D523" s="43" t="s">
        <v>1718</v>
      </c>
    </row>
    <row r="524" spans="1:4">
      <c r="B524" s="24">
        <v>375000</v>
      </c>
      <c r="C524" s="33">
        <v>22500</v>
      </c>
      <c r="D524" s="43" t="s">
        <v>1768</v>
      </c>
    </row>
    <row r="525" spans="1:4">
      <c r="C525" s="33">
        <v>3735</v>
      </c>
      <c r="D525" s="43" t="s">
        <v>1494</v>
      </c>
    </row>
    <row r="526" spans="1:4">
      <c r="B526" s="24">
        <v>10000</v>
      </c>
      <c r="D526" s="43" t="s">
        <v>1769</v>
      </c>
    </row>
    <row r="527" spans="1:4">
      <c r="C527" s="33">
        <v>7000</v>
      </c>
      <c r="D527" s="43" t="s">
        <v>1770</v>
      </c>
    </row>
    <row r="528" spans="1:4">
      <c r="C528" s="33">
        <v>7000</v>
      </c>
      <c r="D528" s="43" t="s">
        <v>1771</v>
      </c>
    </row>
    <row r="529" spans="1:4">
      <c r="C529" s="33">
        <v>8000</v>
      </c>
      <c r="D529" s="43" t="s">
        <v>1772</v>
      </c>
    </row>
    <row r="530" spans="1:4">
      <c r="B530" s="24">
        <v>14000</v>
      </c>
      <c r="D530" s="43" t="s">
        <v>1773</v>
      </c>
    </row>
    <row r="531" spans="1:4">
      <c r="C531" s="33">
        <v>7000</v>
      </c>
      <c r="D531" s="43" t="s">
        <v>1774</v>
      </c>
    </row>
    <row r="532" spans="1:4">
      <c r="B532" s="24">
        <v>12000</v>
      </c>
      <c r="D532" s="43" t="s">
        <v>1775</v>
      </c>
    </row>
    <row r="533" spans="1:4">
      <c r="A533" s="20">
        <v>44901</v>
      </c>
      <c r="B533" s="24">
        <v>6000</v>
      </c>
      <c r="D533" s="43" t="s">
        <v>1776</v>
      </c>
    </row>
    <row r="534" spans="1:4">
      <c r="A534" s="20">
        <v>44904</v>
      </c>
      <c r="B534" s="24">
        <v>59400</v>
      </c>
      <c r="C534" s="33">
        <v>3564</v>
      </c>
      <c r="D534" s="43" t="s">
        <v>1777</v>
      </c>
    </row>
    <row r="535" spans="1:4">
      <c r="B535" s="24">
        <v>5000</v>
      </c>
      <c r="D535" s="43" t="s">
        <v>1778</v>
      </c>
    </row>
    <row r="536" spans="1:4">
      <c r="B536" s="24">
        <v>6000</v>
      </c>
      <c r="D536" s="43" t="s">
        <v>1779</v>
      </c>
    </row>
    <row r="537" spans="1:4">
      <c r="B537" s="24">
        <v>6600</v>
      </c>
      <c r="C537" s="33">
        <v>580</v>
      </c>
      <c r="D537" s="43" t="s">
        <v>1780</v>
      </c>
    </row>
    <row r="538" spans="1:4">
      <c r="A538" s="20">
        <v>44909</v>
      </c>
      <c r="C538" s="33">
        <v>250000</v>
      </c>
      <c r="D538" s="43" t="s">
        <v>1781</v>
      </c>
    </row>
    <row r="539" spans="1:4">
      <c r="C539" s="33">
        <v>2471</v>
      </c>
      <c r="D539" s="43" t="s">
        <v>1782</v>
      </c>
    </row>
    <row r="540" spans="1:4">
      <c r="B540" s="24">
        <v>10000</v>
      </c>
      <c r="C540" s="33">
        <v>600</v>
      </c>
      <c r="D540" s="43" t="s">
        <v>1783</v>
      </c>
    </row>
    <row r="541" spans="1:4">
      <c r="B541" s="24">
        <v>2200</v>
      </c>
      <c r="C541" s="33">
        <v>132</v>
      </c>
      <c r="D541" s="43" t="s">
        <v>1784</v>
      </c>
    </row>
    <row r="542" spans="1:4">
      <c r="B542" s="24">
        <v>27600</v>
      </c>
      <c r="C542" s="33">
        <v>1656</v>
      </c>
      <c r="D542" s="43" t="s">
        <v>1786</v>
      </c>
    </row>
    <row r="543" spans="1:4">
      <c r="B543" s="24">
        <v>34500</v>
      </c>
      <c r="C543" s="33">
        <v>2070</v>
      </c>
      <c r="D543" s="43" t="s">
        <v>1785</v>
      </c>
    </row>
    <row r="544" spans="1:4">
      <c r="B544" s="24">
        <v>6000</v>
      </c>
      <c r="C544" s="33">
        <v>360</v>
      </c>
      <c r="D544" s="43" t="s">
        <v>1787</v>
      </c>
    </row>
    <row r="545" spans="1:4">
      <c r="C545" s="33">
        <v>2500</v>
      </c>
      <c r="D545" s="43" t="s">
        <v>1788</v>
      </c>
    </row>
    <row r="546" spans="1:4">
      <c r="C546" s="33">
        <v>4000</v>
      </c>
      <c r="D546" s="43" t="s">
        <v>1789</v>
      </c>
    </row>
    <row r="547" spans="1:4">
      <c r="C547" s="33">
        <v>2500</v>
      </c>
      <c r="D547" s="43" t="s">
        <v>1790</v>
      </c>
    </row>
    <row r="548" spans="1:4">
      <c r="A548" s="20">
        <v>44912</v>
      </c>
      <c r="C548" s="33">
        <v>28500</v>
      </c>
      <c r="D548" s="43" t="s">
        <v>1791</v>
      </c>
    </row>
    <row r="549" spans="1:4">
      <c r="B549" s="24">
        <v>6000</v>
      </c>
      <c r="D549" s="43" t="s">
        <v>1792</v>
      </c>
    </row>
    <row r="550" spans="1:4">
      <c r="A550" s="20">
        <v>44914</v>
      </c>
      <c r="C550" s="33">
        <v>6000</v>
      </c>
      <c r="D550" s="43" t="s">
        <v>1793</v>
      </c>
    </row>
    <row r="551" spans="1:4">
      <c r="C551" s="33">
        <v>4500</v>
      </c>
      <c r="D551" s="43" t="s">
        <v>1794</v>
      </c>
    </row>
    <row r="552" spans="1:4">
      <c r="C552" s="33">
        <v>2500</v>
      </c>
      <c r="D552" s="43" t="s">
        <v>1795</v>
      </c>
    </row>
    <row r="553" spans="1:4">
      <c r="B553" s="24">
        <v>40000</v>
      </c>
      <c r="C553" s="33">
        <v>2400</v>
      </c>
      <c r="D553" s="43" t="s">
        <v>1796</v>
      </c>
    </row>
    <row r="554" spans="1:4">
      <c r="B554" s="24">
        <v>56100</v>
      </c>
      <c r="C554" s="33">
        <v>3366</v>
      </c>
      <c r="D554" s="43" t="s">
        <v>1797</v>
      </c>
    </row>
    <row r="555" spans="1:4">
      <c r="A555" s="20">
        <v>44916</v>
      </c>
      <c r="B555" s="24">
        <v>20000</v>
      </c>
      <c r="D555" s="43" t="s">
        <v>1798</v>
      </c>
    </row>
    <row r="556" spans="1:4">
      <c r="B556" s="24">
        <v>6000</v>
      </c>
      <c r="D556" s="43" t="s">
        <v>1799</v>
      </c>
    </row>
    <row r="557" spans="1:4">
      <c r="A557" s="20">
        <v>44917</v>
      </c>
      <c r="C557" s="33">
        <v>3000</v>
      </c>
      <c r="D557" s="43" t="s">
        <v>1479</v>
      </c>
    </row>
    <row r="558" spans="1:4">
      <c r="C558" s="33">
        <v>3000</v>
      </c>
      <c r="D558" s="43" t="s">
        <v>1800</v>
      </c>
    </row>
    <row r="559" spans="1:4">
      <c r="A559" s="20">
        <v>44918</v>
      </c>
      <c r="C559" s="33">
        <v>4000</v>
      </c>
      <c r="D559" s="43" t="s">
        <v>1801</v>
      </c>
    </row>
    <row r="560" spans="1:4">
      <c r="B560" s="24">
        <v>2000</v>
      </c>
      <c r="D560" s="43" t="s">
        <v>1802</v>
      </c>
    </row>
    <row r="561" spans="1:4">
      <c r="B561" s="24">
        <v>3000</v>
      </c>
      <c r="D561" s="43" t="s">
        <v>1803</v>
      </c>
    </row>
    <row r="562" spans="1:4">
      <c r="B562" s="24">
        <v>3000</v>
      </c>
      <c r="D562" s="43" t="s">
        <v>1804</v>
      </c>
    </row>
    <row r="563" spans="1:4">
      <c r="A563" s="20">
        <v>44920</v>
      </c>
      <c r="C563" s="33">
        <v>5545</v>
      </c>
      <c r="D563" s="43" t="s">
        <v>1805</v>
      </c>
    </row>
    <row r="564" spans="1:4">
      <c r="C564" s="33">
        <v>10000</v>
      </c>
      <c r="D564" s="43" t="s">
        <v>1806</v>
      </c>
    </row>
    <row r="565" spans="1:4">
      <c r="C565" s="33">
        <v>4000</v>
      </c>
      <c r="D565" s="43" t="s">
        <v>1633</v>
      </c>
    </row>
    <row r="566" spans="1:4">
      <c r="A566" s="20">
        <v>44921</v>
      </c>
      <c r="C566" s="33">
        <v>2500</v>
      </c>
      <c r="D566" s="43" t="s">
        <v>1795</v>
      </c>
    </row>
    <row r="567" spans="1:4">
      <c r="C567" s="33">
        <v>10000</v>
      </c>
      <c r="D567" s="43" t="s">
        <v>1807</v>
      </c>
    </row>
    <row r="568" spans="1:4">
      <c r="C568" s="33">
        <v>18250</v>
      </c>
      <c r="D568" s="43" t="s">
        <v>1808</v>
      </c>
    </row>
    <row r="569" spans="1:4">
      <c r="B569" s="24">
        <v>208400</v>
      </c>
      <c r="C569" s="33">
        <v>12504</v>
      </c>
      <c r="D569" s="43" t="s">
        <v>1809</v>
      </c>
    </row>
    <row r="570" spans="1:4">
      <c r="B570" s="24">
        <v>53750</v>
      </c>
      <c r="C570" s="33">
        <v>3225</v>
      </c>
      <c r="D570" s="43" t="s">
        <v>1810</v>
      </c>
    </row>
    <row r="571" spans="1:4">
      <c r="A571" s="20">
        <v>44922</v>
      </c>
      <c r="C571" s="33">
        <v>280000</v>
      </c>
      <c r="D571" s="43" t="s">
        <v>1811</v>
      </c>
    </row>
    <row r="572" spans="1:4">
      <c r="C572" s="33">
        <v>13000</v>
      </c>
      <c r="D572" s="43" t="s">
        <v>964</v>
      </c>
    </row>
    <row r="573" spans="1:4">
      <c r="C573" s="33">
        <v>3000</v>
      </c>
      <c r="D573" s="43" t="s">
        <v>1812</v>
      </c>
    </row>
    <row r="574" spans="1:4">
      <c r="C574" s="33">
        <v>1500</v>
      </c>
      <c r="D574" s="43" t="s">
        <v>1743</v>
      </c>
    </row>
    <row r="575" spans="1:4">
      <c r="A575" s="20">
        <v>44923</v>
      </c>
      <c r="B575" s="24">
        <v>164200</v>
      </c>
      <c r="C575" s="33">
        <v>9852</v>
      </c>
      <c r="D575" s="43" t="s">
        <v>1813</v>
      </c>
    </row>
    <row r="576" spans="1:4">
      <c r="C576" s="33">
        <v>10000</v>
      </c>
      <c r="D576" s="43" t="s">
        <v>1820</v>
      </c>
    </row>
    <row r="832" spans="2:4">
      <c r="B832" s="28"/>
      <c r="C832" s="36"/>
      <c r="D832" s="46"/>
    </row>
    <row r="833" spans="1:4">
      <c r="A833" s="56"/>
      <c r="B833" s="28"/>
      <c r="C833" s="36"/>
      <c r="D833" s="47"/>
    </row>
    <row r="834" spans="1:4">
      <c r="A834" s="56"/>
      <c r="B834" s="28"/>
      <c r="C834" s="36"/>
      <c r="D834" s="47"/>
    </row>
    <row r="835" spans="1:4">
      <c r="A835" s="56"/>
      <c r="B835" s="28"/>
      <c r="C835" s="36"/>
      <c r="D835" s="47"/>
    </row>
    <row r="836" spans="1:4">
      <c r="A836" s="56"/>
    </row>
    <row r="847" spans="1:4">
      <c r="C847" s="37"/>
    </row>
    <row r="963" spans="3:3">
      <c r="C963" s="37"/>
    </row>
    <row r="1032" spans="4:4">
      <c r="D1032" s="48"/>
    </row>
    <row r="1323" spans="3:3">
      <c r="C1323" s="37"/>
    </row>
    <row r="1456" spans="5:5">
      <c r="E1456"/>
    </row>
    <row r="1524" spans="4:4">
      <c r="D1524" s="18"/>
    </row>
    <row r="1525" spans="4:4">
      <c r="D1525" s="18"/>
    </row>
    <row r="1526" spans="4:4">
      <c r="D1526" s="18"/>
    </row>
    <row r="1527" spans="4:4">
      <c r="D1527" s="18"/>
    </row>
    <row r="1528" spans="4:4">
      <c r="D1528" s="18"/>
    </row>
    <row r="1529" spans="4:4">
      <c r="D1529" s="18"/>
    </row>
    <row r="1530" spans="4:4">
      <c r="D1530" s="18"/>
    </row>
    <row r="1531" spans="4:4">
      <c r="D1531" s="18"/>
    </row>
    <row r="1532" spans="4:4">
      <c r="D1532" s="18"/>
    </row>
    <row r="1533" spans="4:4">
      <c r="D1533" s="18"/>
    </row>
    <row r="1534" spans="4:4">
      <c r="D1534" s="18"/>
    </row>
    <row r="1535" spans="4:4">
      <c r="D1535" s="18"/>
    </row>
    <row r="1536" spans="4:4">
      <c r="D1536" s="18"/>
    </row>
    <row r="1538" spans="4:4">
      <c r="D1538" s="18"/>
    </row>
    <row r="1539" spans="4:4">
      <c r="D1539" s="18"/>
    </row>
    <row r="1540" spans="4:4">
      <c r="D1540" s="18"/>
    </row>
    <row r="1541" spans="4:4">
      <c r="D1541" s="18"/>
    </row>
    <row r="1542" spans="4:4">
      <c r="D1542" s="18"/>
    </row>
    <row r="1543" spans="4:4">
      <c r="D1543" s="18"/>
    </row>
    <row r="1544" spans="4:4">
      <c r="D1544" s="18"/>
    </row>
    <row r="1545" spans="4:4">
      <c r="D1545" s="18"/>
    </row>
    <row r="1546" spans="4:4">
      <c r="D1546" s="18"/>
    </row>
    <row r="1547" spans="4:4">
      <c r="D1547" s="18"/>
    </row>
    <row r="1548" spans="4:4">
      <c r="D1548" s="18"/>
    </row>
    <row r="1549" spans="4:4">
      <c r="D1549" s="18"/>
    </row>
    <row r="1550" spans="4:4">
      <c r="D1550" s="18"/>
    </row>
    <row r="1551" spans="4:4">
      <c r="D1551" s="18"/>
    </row>
    <row r="1552" spans="4:4">
      <c r="D1552" s="18"/>
    </row>
    <row r="1589" spans="4:4">
      <c r="D1589" s="18"/>
    </row>
    <row r="1590" spans="4:4">
      <c r="D1590" s="18"/>
    </row>
    <row r="1591" spans="4:4">
      <c r="D1591" s="18"/>
    </row>
    <row r="1592" spans="4:4">
      <c r="D1592" s="18"/>
    </row>
    <row r="1593" spans="4:4">
      <c r="D1593" s="18"/>
    </row>
    <row r="1594" spans="4:4">
      <c r="D1594" s="18"/>
    </row>
    <row r="1769" spans="4:4">
      <c r="D1769" s="18"/>
    </row>
    <row r="1836" spans="1:4" ht="13.5" thickBot="1"/>
    <row r="1837" spans="1:4" ht="15.75" thickBot="1">
      <c r="A1837" s="91"/>
      <c r="B1837" s="92"/>
      <c r="C1837" s="93"/>
      <c r="D1837" s="94"/>
    </row>
    <row r="1838" spans="1:4" ht="15.75" thickBot="1">
      <c r="A1838" s="91"/>
      <c r="B1838" s="92"/>
      <c r="C1838" s="93"/>
      <c r="D1838" s="94"/>
    </row>
    <row r="1839" spans="1:4" ht="15.75" thickBot="1">
      <c r="A1839" s="91"/>
      <c r="B1839" s="92"/>
      <c r="C1839" s="93"/>
      <c r="D1839" s="94"/>
    </row>
    <row r="1840" spans="1:4" ht="15.75" thickBot="1">
      <c r="A1840" s="91"/>
      <c r="B1840" s="92"/>
      <c r="C1840" s="93"/>
      <c r="D1840" s="94"/>
    </row>
    <row r="1841" spans="1:4" ht="15.75" thickBot="1">
      <c r="A1841" s="91"/>
      <c r="B1841" s="92"/>
      <c r="C1841" s="93"/>
      <c r="D1841" s="94"/>
    </row>
    <row r="1842" spans="1:4" ht="15.75" thickBot="1">
      <c r="A1842" s="91"/>
      <c r="B1842" s="92"/>
      <c r="C1842" s="93"/>
      <c r="D1842" s="94"/>
    </row>
    <row r="1843" spans="1:4" ht="15.75" thickBot="1">
      <c r="A1843" s="91"/>
      <c r="B1843" s="92"/>
      <c r="C1843" s="93"/>
      <c r="D1843" s="94"/>
    </row>
    <row r="1844" spans="1:4" ht="15.75" thickBot="1">
      <c r="A1844" s="91"/>
      <c r="B1844" s="92"/>
      <c r="C1844" s="93"/>
      <c r="D1844" s="94"/>
    </row>
    <row r="1845" spans="1:4" ht="15.75" thickBot="1">
      <c r="A1845" s="91"/>
      <c r="B1845" s="92"/>
      <c r="C1845" s="93"/>
      <c r="D1845" s="94"/>
    </row>
    <row r="1846" spans="1:4" ht="15.75" thickBot="1">
      <c r="A1846" s="91"/>
      <c r="B1846" s="92"/>
      <c r="C1846" s="93"/>
      <c r="D1846" s="94"/>
    </row>
    <row r="1847" spans="1:4" ht="15.75" thickBot="1">
      <c r="A1847" s="91"/>
      <c r="B1847" s="92"/>
      <c r="C1847" s="93"/>
      <c r="D1847" s="94"/>
    </row>
    <row r="1848" spans="1:4" ht="15.75" thickBot="1">
      <c r="A1848" s="91"/>
      <c r="B1848" s="92"/>
      <c r="C1848" s="93"/>
      <c r="D1848" s="94"/>
    </row>
    <row r="1849" spans="1:4" ht="15.75" thickBot="1">
      <c r="A1849" s="91"/>
      <c r="B1849" s="92"/>
      <c r="C1849" s="93"/>
      <c r="D1849" s="94"/>
    </row>
    <row r="1850" spans="1:4" ht="15.75" thickBot="1">
      <c r="A1850" s="91"/>
      <c r="B1850" s="92"/>
      <c r="C1850" s="93"/>
      <c r="D1850" s="94"/>
    </row>
    <row r="1851" spans="1:4" ht="15.75" thickBot="1">
      <c r="A1851" s="91"/>
      <c r="B1851" s="92"/>
      <c r="C1851" s="93"/>
      <c r="D1851" s="94"/>
    </row>
    <row r="1852" spans="1:4" ht="15.75" thickBot="1">
      <c r="A1852" s="91"/>
      <c r="B1852" s="92"/>
      <c r="C1852" s="93"/>
      <c r="D1852" s="94"/>
    </row>
  </sheetData>
  <mergeCells count="4">
    <mergeCell ref="F1:H1"/>
    <mergeCell ref="F2:H2"/>
    <mergeCell ref="B3:C3"/>
    <mergeCell ref="G3:H3"/>
  </mergeCells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AA6E-2753-44CF-AE70-EA3F23AC2C60}">
  <sheetPr>
    <tabColor indexed="17"/>
  </sheetPr>
  <dimension ref="A1:H1868"/>
  <sheetViews>
    <sheetView zoomScale="110" zoomScaleNormal="110" workbookViewId="0">
      <pane ySplit="3" topLeftCell="A82" activePane="bottomLeft" state="frozen"/>
      <selection pane="bottomLeft" activeCell="D13" sqref="D13"/>
    </sheetView>
  </sheetViews>
  <sheetFormatPr defaultRowHeight="12.75"/>
  <cols>
    <col min="1" max="1" width="16.85546875" style="20" customWidth="1"/>
    <col min="2" max="2" width="16.85546875" style="24" customWidth="1"/>
    <col min="3" max="3" width="16.85546875" style="33" customWidth="1"/>
    <col min="4" max="4" width="107.7109375" style="43" customWidth="1"/>
    <col min="5" max="5" width="12.42578125" style="3" customWidth="1"/>
    <col min="6" max="6" width="13.85546875" customWidth="1"/>
  </cols>
  <sheetData>
    <row r="1" spans="1:8" s="2" customFormat="1" ht="24" customHeight="1">
      <c r="A1" s="17" t="s">
        <v>0</v>
      </c>
      <c r="B1" s="1" t="s">
        <v>1</v>
      </c>
      <c r="C1" s="22" t="s">
        <v>2</v>
      </c>
      <c r="D1" s="41" t="s">
        <v>3</v>
      </c>
      <c r="E1" s="61">
        <v>365</v>
      </c>
      <c r="F1" s="105" t="s">
        <v>272</v>
      </c>
      <c r="G1" s="105"/>
      <c r="H1" s="105"/>
    </row>
    <row r="2" spans="1:8" s="2" customFormat="1" ht="24" customHeight="1">
      <c r="A2" s="19"/>
      <c r="B2" s="23">
        <f>SUM(B4:B2143)</f>
        <v>4818296</v>
      </c>
      <c r="C2" s="32">
        <f>SUM(C4:C2143)</f>
        <v>2491250.75</v>
      </c>
      <c r="D2" s="42"/>
      <c r="E2" s="62">
        <f>B3/E1</f>
        <v>6375.466438356164</v>
      </c>
      <c r="F2" s="106" t="s">
        <v>274</v>
      </c>
      <c r="G2" s="106"/>
      <c r="H2" s="106"/>
    </row>
    <row r="3" spans="1:8" s="2" customFormat="1" ht="24" customHeight="1">
      <c r="A3" s="19" t="s">
        <v>4</v>
      </c>
      <c r="B3" s="107">
        <f>B2-C2</f>
        <v>2327045.25</v>
      </c>
      <c r="C3" s="107"/>
      <c r="D3" s="42"/>
      <c r="E3" s="62">
        <f>E2/8</f>
        <v>796.9333047945205</v>
      </c>
      <c r="F3" s="62">
        <f>E3*160</f>
        <v>127509.32876712328</v>
      </c>
      <c r="G3" s="105" t="s">
        <v>273</v>
      </c>
      <c r="H3" s="105"/>
    </row>
    <row r="4" spans="1:8">
      <c r="A4" s="20">
        <v>44201</v>
      </c>
      <c r="B4" s="26">
        <v>5000</v>
      </c>
      <c r="D4" s="18" t="s">
        <v>877</v>
      </c>
    </row>
    <row r="5" spans="1:8">
      <c r="B5" s="26">
        <v>2000</v>
      </c>
      <c r="D5" s="18" t="s">
        <v>878</v>
      </c>
    </row>
    <row r="6" spans="1:8">
      <c r="B6" s="26">
        <v>10000</v>
      </c>
      <c r="D6" s="18" t="s">
        <v>879</v>
      </c>
    </row>
    <row r="7" spans="1:8">
      <c r="A7" s="20">
        <v>44202</v>
      </c>
      <c r="B7" s="26"/>
      <c r="C7" s="33">
        <v>1640</v>
      </c>
      <c r="D7" s="18" t="s">
        <v>880</v>
      </c>
    </row>
    <row r="8" spans="1:8">
      <c r="A8" s="20">
        <v>44208</v>
      </c>
      <c r="B8" s="26"/>
      <c r="C8" s="33">
        <v>6500</v>
      </c>
      <c r="D8" s="18" t="s">
        <v>881</v>
      </c>
    </row>
    <row r="9" spans="1:8">
      <c r="B9" s="26"/>
      <c r="C9" s="33">
        <v>8400</v>
      </c>
      <c r="D9" s="18" t="s">
        <v>882</v>
      </c>
    </row>
    <row r="10" spans="1:8">
      <c r="A10" s="20">
        <v>44209</v>
      </c>
      <c r="B10" s="26">
        <v>15000</v>
      </c>
      <c r="D10" s="18" t="s">
        <v>883</v>
      </c>
    </row>
    <row r="11" spans="1:8">
      <c r="B11" s="26"/>
      <c r="C11" s="33">
        <v>3600</v>
      </c>
      <c r="D11" s="18" t="s">
        <v>884</v>
      </c>
    </row>
    <row r="12" spans="1:8">
      <c r="B12" s="26">
        <v>1700</v>
      </c>
      <c r="D12" s="18" t="s">
        <v>885</v>
      </c>
    </row>
    <row r="13" spans="1:8">
      <c r="A13" s="20">
        <v>44210</v>
      </c>
      <c r="B13" s="26"/>
      <c r="C13" s="33">
        <v>13300</v>
      </c>
      <c r="D13" s="18" t="s">
        <v>886</v>
      </c>
    </row>
    <row r="14" spans="1:8">
      <c r="A14" s="20">
        <v>44211</v>
      </c>
      <c r="C14" s="33">
        <v>260</v>
      </c>
      <c r="D14" s="43" t="s">
        <v>887</v>
      </c>
    </row>
    <row r="15" spans="1:8">
      <c r="C15" s="33">
        <v>2600</v>
      </c>
      <c r="D15" s="43" t="s">
        <v>888</v>
      </c>
    </row>
    <row r="16" spans="1:8">
      <c r="A16" s="20">
        <v>44213</v>
      </c>
      <c r="C16" s="33">
        <v>5650</v>
      </c>
      <c r="D16" s="43" t="s">
        <v>889</v>
      </c>
    </row>
    <row r="17" spans="1:4">
      <c r="C17" s="33">
        <v>1300</v>
      </c>
      <c r="D17" s="43" t="s">
        <v>890</v>
      </c>
    </row>
    <row r="18" spans="1:4">
      <c r="C18" s="33">
        <v>250</v>
      </c>
      <c r="D18" s="43" t="s">
        <v>891</v>
      </c>
    </row>
    <row r="19" spans="1:4">
      <c r="B19" s="24">
        <v>10000</v>
      </c>
      <c r="D19" s="43" t="s">
        <v>892</v>
      </c>
    </row>
    <row r="20" spans="1:4">
      <c r="A20" s="20">
        <v>44214</v>
      </c>
      <c r="B20" s="24">
        <v>15000</v>
      </c>
      <c r="D20" s="43" t="s">
        <v>893</v>
      </c>
    </row>
    <row r="21" spans="1:4">
      <c r="C21" s="33">
        <v>480</v>
      </c>
      <c r="D21" s="43" t="s">
        <v>894</v>
      </c>
    </row>
    <row r="22" spans="1:4">
      <c r="A22" s="20">
        <v>44215</v>
      </c>
      <c r="B22" s="24">
        <v>5000</v>
      </c>
      <c r="D22" s="43" t="s">
        <v>895</v>
      </c>
    </row>
    <row r="23" spans="1:4">
      <c r="C23" s="33">
        <v>4500</v>
      </c>
      <c r="D23" s="43" t="s">
        <v>896</v>
      </c>
    </row>
    <row r="24" spans="1:4">
      <c r="A24" s="20">
        <v>44216</v>
      </c>
      <c r="C24" s="33">
        <v>20500</v>
      </c>
      <c r="D24" s="43" t="s">
        <v>897</v>
      </c>
    </row>
    <row r="25" spans="1:4">
      <c r="C25" s="33">
        <v>3600</v>
      </c>
      <c r="D25" s="43" t="s">
        <v>898</v>
      </c>
    </row>
    <row r="26" spans="1:4">
      <c r="A26" s="20">
        <v>44217</v>
      </c>
      <c r="B26" s="24">
        <v>45000</v>
      </c>
      <c r="D26" s="43" t="s">
        <v>899</v>
      </c>
    </row>
    <row r="27" spans="1:4">
      <c r="C27" s="33">
        <v>2700</v>
      </c>
      <c r="D27" s="43" t="s">
        <v>900</v>
      </c>
    </row>
    <row r="28" spans="1:4">
      <c r="A28" s="20">
        <v>44223</v>
      </c>
      <c r="B28" s="24">
        <v>10000</v>
      </c>
      <c r="D28" s="43" t="s">
        <v>901</v>
      </c>
    </row>
    <row r="29" spans="1:4">
      <c r="C29" s="33">
        <v>10000</v>
      </c>
      <c r="D29" s="43" t="s">
        <v>902</v>
      </c>
    </row>
    <row r="30" spans="1:4">
      <c r="A30" s="20">
        <v>44224</v>
      </c>
      <c r="C30" s="33">
        <v>10000</v>
      </c>
      <c r="D30" s="43" t="s">
        <v>544</v>
      </c>
    </row>
    <row r="31" spans="1:4">
      <c r="B31" s="24">
        <v>2000</v>
      </c>
      <c r="D31" s="43" t="s">
        <v>903</v>
      </c>
    </row>
    <row r="32" spans="1:4">
      <c r="A32" s="20">
        <v>44227</v>
      </c>
      <c r="C32" s="33">
        <v>4650</v>
      </c>
      <c r="D32" s="43" t="s">
        <v>904</v>
      </c>
    </row>
    <row r="33" spans="1:5">
      <c r="C33" s="33">
        <v>5000</v>
      </c>
      <c r="D33" s="43" t="s">
        <v>905</v>
      </c>
    </row>
    <row r="34" spans="1:5">
      <c r="C34" s="33">
        <v>6300</v>
      </c>
      <c r="D34" s="43" t="s">
        <v>906</v>
      </c>
    </row>
    <row r="35" spans="1:5">
      <c r="A35" s="20">
        <v>44228</v>
      </c>
      <c r="B35" s="24">
        <v>105000</v>
      </c>
      <c r="D35" s="43" t="s">
        <v>907</v>
      </c>
    </row>
    <row r="36" spans="1:5">
      <c r="A36" s="20">
        <v>44230</v>
      </c>
      <c r="B36" s="24">
        <v>26000</v>
      </c>
      <c r="D36" s="43" t="s">
        <v>908</v>
      </c>
    </row>
    <row r="37" spans="1:5">
      <c r="A37" s="20">
        <v>44234</v>
      </c>
      <c r="C37" s="33">
        <v>2000</v>
      </c>
      <c r="D37" s="43" t="s">
        <v>909</v>
      </c>
    </row>
    <row r="38" spans="1:5">
      <c r="C38" s="33">
        <v>400</v>
      </c>
      <c r="D38" s="43" t="s">
        <v>910</v>
      </c>
    </row>
    <row r="39" spans="1:5">
      <c r="C39" s="33">
        <v>250</v>
      </c>
      <c r="D39" s="43" t="s">
        <v>911</v>
      </c>
    </row>
    <row r="40" spans="1:5">
      <c r="A40" s="20">
        <v>44235</v>
      </c>
      <c r="C40" s="33">
        <v>1000</v>
      </c>
      <c r="D40" s="43" t="s">
        <v>912</v>
      </c>
    </row>
    <row r="41" spans="1:5">
      <c r="B41" s="24">
        <v>11825</v>
      </c>
      <c r="D41" s="43" t="s">
        <v>913</v>
      </c>
    </row>
    <row r="42" spans="1:5">
      <c r="C42" s="33">
        <v>827.75</v>
      </c>
      <c r="D42" s="43" t="s">
        <v>914</v>
      </c>
    </row>
    <row r="43" spans="1:5">
      <c r="A43" s="20">
        <v>44236</v>
      </c>
      <c r="B43" s="24">
        <v>28500</v>
      </c>
      <c r="D43" s="43" t="s">
        <v>883</v>
      </c>
    </row>
    <row r="44" spans="1:5">
      <c r="A44" s="20">
        <v>44237</v>
      </c>
      <c r="C44" s="33">
        <v>30400</v>
      </c>
      <c r="D44" s="43" t="s">
        <v>915</v>
      </c>
    </row>
    <row r="45" spans="1:5">
      <c r="A45" s="20">
        <v>44238</v>
      </c>
      <c r="B45" s="24">
        <v>1880</v>
      </c>
      <c r="D45" s="43" t="s">
        <v>916</v>
      </c>
    </row>
    <row r="46" spans="1:5">
      <c r="A46" s="20">
        <v>44240</v>
      </c>
      <c r="C46" s="33">
        <v>3585</v>
      </c>
      <c r="D46" s="43" t="s">
        <v>917</v>
      </c>
    </row>
    <row r="47" spans="1:5">
      <c r="B47" s="24">
        <v>10000</v>
      </c>
      <c r="D47" s="43" t="s">
        <v>926</v>
      </c>
    </row>
    <row r="48" spans="1:5" s="78" customFormat="1">
      <c r="A48" s="20">
        <v>44242</v>
      </c>
      <c r="B48" s="24"/>
      <c r="C48" s="33">
        <v>4000</v>
      </c>
      <c r="D48" s="76" t="s">
        <v>918</v>
      </c>
      <c r="E48" s="77"/>
    </row>
    <row r="49" spans="1:5" s="78" customFormat="1">
      <c r="A49" s="20"/>
      <c r="B49" s="24"/>
      <c r="C49" s="33">
        <v>4119</v>
      </c>
      <c r="D49" s="76" t="s">
        <v>919</v>
      </c>
      <c r="E49" s="77"/>
    </row>
    <row r="50" spans="1:5" s="78" customFormat="1">
      <c r="A50" s="20">
        <v>44244</v>
      </c>
      <c r="B50" s="24">
        <v>100000</v>
      </c>
      <c r="C50" s="33"/>
      <c r="D50" s="76" t="s">
        <v>920</v>
      </c>
      <c r="E50" s="77"/>
    </row>
    <row r="51" spans="1:5">
      <c r="A51" s="20">
        <v>44245</v>
      </c>
      <c r="C51" s="33">
        <v>3674</v>
      </c>
      <c r="D51" s="76" t="s">
        <v>921</v>
      </c>
    </row>
    <row r="52" spans="1:5" s="78" customFormat="1">
      <c r="A52" s="20"/>
      <c r="B52" s="24"/>
      <c r="C52" s="33">
        <v>1587</v>
      </c>
      <c r="D52" s="76" t="s">
        <v>922</v>
      </c>
      <c r="E52" s="77"/>
    </row>
    <row r="53" spans="1:5" s="78" customFormat="1">
      <c r="A53" s="20"/>
      <c r="B53" s="24"/>
      <c r="C53" s="33">
        <v>5400</v>
      </c>
      <c r="D53" s="76" t="s">
        <v>923</v>
      </c>
      <c r="E53" s="77"/>
    </row>
    <row r="54" spans="1:5">
      <c r="A54" s="20">
        <v>44246</v>
      </c>
      <c r="C54" s="33">
        <v>11760</v>
      </c>
      <c r="D54" s="76" t="s">
        <v>924</v>
      </c>
    </row>
    <row r="55" spans="1:5">
      <c r="C55" s="33">
        <v>4560</v>
      </c>
      <c r="D55" s="76" t="s">
        <v>925</v>
      </c>
    </row>
    <row r="56" spans="1:5">
      <c r="A56" s="20">
        <v>44250</v>
      </c>
      <c r="C56" s="33">
        <v>2398</v>
      </c>
      <c r="D56" s="43" t="s">
        <v>133</v>
      </c>
    </row>
    <row r="57" spans="1:5">
      <c r="A57" s="20">
        <v>44252</v>
      </c>
      <c r="C57" s="33">
        <v>5775</v>
      </c>
      <c r="D57" s="76" t="s">
        <v>927</v>
      </c>
    </row>
    <row r="58" spans="1:5">
      <c r="A58" s="20">
        <v>44253</v>
      </c>
      <c r="C58" s="33">
        <v>2640</v>
      </c>
      <c r="D58" s="76" t="s">
        <v>928</v>
      </c>
    </row>
    <row r="59" spans="1:5">
      <c r="C59" s="33">
        <v>4555</v>
      </c>
      <c r="D59" s="76" t="s">
        <v>929</v>
      </c>
    </row>
    <row r="60" spans="1:5" s="78" customFormat="1">
      <c r="A60" s="20">
        <v>44255</v>
      </c>
      <c r="B60" s="24"/>
      <c r="C60" s="33">
        <v>8300</v>
      </c>
      <c r="D60" s="43" t="s">
        <v>930</v>
      </c>
      <c r="E60" s="77"/>
    </row>
    <row r="61" spans="1:5" s="78" customFormat="1">
      <c r="A61" s="20"/>
      <c r="B61" s="24"/>
      <c r="C61" s="33">
        <v>680</v>
      </c>
      <c r="D61" s="43" t="s">
        <v>931</v>
      </c>
      <c r="E61" s="77"/>
    </row>
    <row r="62" spans="1:5" s="78" customFormat="1">
      <c r="A62" s="20"/>
      <c r="B62" s="24">
        <v>140000</v>
      </c>
      <c r="C62" s="33"/>
      <c r="D62" s="43" t="s">
        <v>932</v>
      </c>
      <c r="E62" s="77"/>
    </row>
    <row r="63" spans="1:5" s="78" customFormat="1">
      <c r="A63" s="20"/>
      <c r="B63" s="24"/>
      <c r="C63" s="33">
        <v>9800</v>
      </c>
      <c r="D63" s="43" t="s">
        <v>933</v>
      </c>
      <c r="E63" s="77"/>
    </row>
    <row r="64" spans="1:5">
      <c r="C64" s="33">
        <v>111600</v>
      </c>
      <c r="D64" s="43" t="s">
        <v>934</v>
      </c>
    </row>
    <row r="65" spans="1:4">
      <c r="A65" s="20">
        <v>44257</v>
      </c>
      <c r="C65" s="33">
        <v>770</v>
      </c>
      <c r="D65" s="76" t="s">
        <v>935</v>
      </c>
    </row>
    <row r="66" spans="1:4">
      <c r="C66" s="33">
        <v>20500</v>
      </c>
      <c r="D66" s="76" t="s">
        <v>936</v>
      </c>
    </row>
    <row r="67" spans="1:4">
      <c r="A67" s="20">
        <v>44261</v>
      </c>
      <c r="C67" s="33">
        <v>3000</v>
      </c>
      <c r="D67" s="43" t="s">
        <v>937</v>
      </c>
    </row>
    <row r="68" spans="1:4">
      <c r="C68" s="33">
        <v>26000</v>
      </c>
      <c r="D68" s="76" t="s">
        <v>938</v>
      </c>
    </row>
    <row r="69" spans="1:4">
      <c r="B69" s="24">
        <v>15320</v>
      </c>
      <c r="D69" s="43" t="s">
        <v>939</v>
      </c>
    </row>
    <row r="70" spans="1:4">
      <c r="B70" s="24">
        <v>8900</v>
      </c>
      <c r="D70" s="84" t="s">
        <v>940</v>
      </c>
    </row>
    <row r="71" spans="1:4">
      <c r="A71" s="20">
        <v>44265</v>
      </c>
      <c r="C71" s="33">
        <v>550</v>
      </c>
      <c r="D71" s="43" t="s">
        <v>941</v>
      </c>
    </row>
    <row r="72" spans="1:4">
      <c r="C72" s="33">
        <v>1100</v>
      </c>
      <c r="D72" s="43" t="s">
        <v>942</v>
      </c>
    </row>
    <row r="73" spans="1:4">
      <c r="B73" s="24">
        <v>39300</v>
      </c>
      <c r="D73" s="43" t="s">
        <v>951</v>
      </c>
    </row>
    <row r="74" spans="1:4">
      <c r="C74" s="33">
        <v>2751</v>
      </c>
      <c r="D74" s="43" t="s">
        <v>952</v>
      </c>
    </row>
    <row r="75" spans="1:4">
      <c r="A75" s="20">
        <v>44266</v>
      </c>
      <c r="C75" s="33">
        <v>16500</v>
      </c>
      <c r="D75" s="76" t="s">
        <v>943</v>
      </c>
    </row>
    <row r="76" spans="1:4">
      <c r="B76" s="24">
        <v>8900</v>
      </c>
      <c r="D76" s="43" t="s">
        <v>944</v>
      </c>
    </row>
    <row r="77" spans="1:4">
      <c r="C77" s="33">
        <v>3312</v>
      </c>
      <c r="D77" s="43" t="s">
        <v>945</v>
      </c>
    </row>
    <row r="78" spans="1:4">
      <c r="B78" s="24">
        <v>1500</v>
      </c>
      <c r="D78" s="43" t="s">
        <v>946</v>
      </c>
    </row>
    <row r="79" spans="1:4">
      <c r="A79" s="20">
        <v>44269</v>
      </c>
      <c r="B79" s="24">
        <v>2000</v>
      </c>
      <c r="D79" s="43" t="s">
        <v>947</v>
      </c>
    </row>
    <row r="80" spans="1:4">
      <c r="B80" s="24">
        <v>2500</v>
      </c>
      <c r="D80" s="43" t="s">
        <v>946</v>
      </c>
    </row>
    <row r="81" spans="1:4">
      <c r="A81" s="20">
        <v>44270</v>
      </c>
      <c r="C81" s="33">
        <v>1500</v>
      </c>
      <c r="D81" s="76" t="s">
        <v>922</v>
      </c>
    </row>
    <row r="82" spans="1:4">
      <c r="C82" s="33">
        <v>900</v>
      </c>
      <c r="D82" s="43" t="s">
        <v>948</v>
      </c>
    </row>
    <row r="83" spans="1:4">
      <c r="A83" s="20">
        <v>44271</v>
      </c>
      <c r="B83" s="24">
        <v>9000</v>
      </c>
      <c r="D83" s="43" t="s">
        <v>949</v>
      </c>
    </row>
    <row r="84" spans="1:4">
      <c r="C84" s="33">
        <v>7500</v>
      </c>
      <c r="D84" s="43" t="s">
        <v>950</v>
      </c>
    </row>
    <row r="85" spans="1:4">
      <c r="A85" s="20">
        <v>44274</v>
      </c>
      <c r="C85" s="33">
        <v>300</v>
      </c>
      <c r="D85" s="43" t="s">
        <v>953</v>
      </c>
    </row>
    <row r="86" spans="1:4">
      <c r="C86" s="33">
        <v>6200</v>
      </c>
      <c r="D86" s="43" t="s">
        <v>954</v>
      </c>
    </row>
    <row r="87" spans="1:4">
      <c r="C87" s="33">
        <v>2100</v>
      </c>
      <c r="D87" s="43" t="s">
        <v>955</v>
      </c>
    </row>
    <row r="88" spans="1:4">
      <c r="A88" s="20">
        <v>44275</v>
      </c>
      <c r="C88" s="33">
        <v>800</v>
      </c>
      <c r="D88" s="43" t="s">
        <v>956</v>
      </c>
    </row>
    <row r="89" spans="1:4">
      <c r="B89" s="24">
        <v>1500</v>
      </c>
      <c r="D89" s="43" t="s">
        <v>957</v>
      </c>
    </row>
    <row r="90" spans="1:4">
      <c r="A90" s="20">
        <v>43912</v>
      </c>
      <c r="C90" s="33">
        <v>500</v>
      </c>
      <c r="D90" s="43" t="s">
        <v>912</v>
      </c>
    </row>
    <row r="91" spans="1:4">
      <c r="B91" s="24">
        <v>100000</v>
      </c>
      <c r="D91" s="76" t="s">
        <v>958</v>
      </c>
    </row>
    <row r="92" spans="1:4">
      <c r="C92" s="33">
        <v>1000</v>
      </c>
      <c r="D92" s="43" t="s">
        <v>959</v>
      </c>
    </row>
    <row r="93" spans="1:4">
      <c r="A93" s="20">
        <v>44278</v>
      </c>
      <c r="C93" s="33">
        <v>850</v>
      </c>
      <c r="D93" s="76" t="s">
        <v>960</v>
      </c>
    </row>
    <row r="94" spans="1:4">
      <c r="C94" s="33">
        <v>4000</v>
      </c>
      <c r="D94" s="76" t="s">
        <v>961</v>
      </c>
    </row>
    <row r="95" spans="1:4">
      <c r="C95" s="33">
        <v>12000</v>
      </c>
      <c r="D95" s="76" t="s">
        <v>962</v>
      </c>
    </row>
    <row r="96" spans="1:4">
      <c r="C96" s="33">
        <v>1000</v>
      </c>
      <c r="D96" s="43" t="s">
        <v>963</v>
      </c>
    </row>
    <row r="97" spans="1:4">
      <c r="C97" s="33">
        <v>500</v>
      </c>
      <c r="D97" s="43" t="s">
        <v>964</v>
      </c>
    </row>
    <row r="98" spans="1:4">
      <c r="A98" s="20">
        <v>44280</v>
      </c>
      <c r="C98" s="33">
        <v>11500</v>
      </c>
      <c r="D98" s="76" t="s">
        <v>965</v>
      </c>
    </row>
    <row r="99" spans="1:4">
      <c r="C99" s="33">
        <v>7400</v>
      </c>
      <c r="D99" s="43" t="s">
        <v>966</v>
      </c>
    </row>
    <row r="100" spans="1:4">
      <c r="C100" s="33">
        <v>4000</v>
      </c>
      <c r="D100" s="43" t="s">
        <v>967</v>
      </c>
    </row>
    <row r="101" spans="1:4">
      <c r="A101" s="20">
        <v>44283</v>
      </c>
      <c r="B101" s="24">
        <v>2000</v>
      </c>
      <c r="D101" s="43" t="s">
        <v>968</v>
      </c>
    </row>
    <row r="102" spans="1:4">
      <c r="A102" s="20">
        <v>44285</v>
      </c>
      <c r="C102" s="33">
        <v>1200</v>
      </c>
      <c r="D102" s="76" t="s">
        <v>969</v>
      </c>
    </row>
    <row r="103" spans="1:4">
      <c r="C103" s="33">
        <v>4400</v>
      </c>
      <c r="D103" s="43" t="s">
        <v>970</v>
      </c>
    </row>
    <row r="104" spans="1:4">
      <c r="C104" s="33">
        <v>2300</v>
      </c>
      <c r="D104" s="43" t="s">
        <v>971</v>
      </c>
    </row>
    <row r="105" spans="1:4">
      <c r="A105" s="20" t="s">
        <v>972</v>
      </c>
      <c r="B105" s="24">
        <v>30000</v>
      </c>
      <c r="D105" s="43" t="s">
        <v>973</v>
      </c>
    </row>
    <row r="106" spans="1:4">
      <c r="A106" s="20">
        <v>44289</v>
      </c>
      <c r="B106" s="24">
        <v>5000</v>
      </c>
      <c r="D106" s="43" t="s">
        <v>974</v>
      </c>
    </row>
    <row r="107" spans="1:4">
      <c r="B107" s="24">
        <v>2000</v>
      </c>
      <c r="D107" s="43" t="s">
        <v>975</v>
      </c>
    </row>
    <row r="108" spans="1:4">
      <c r="A108" s="20">
        <v>44291</v>
      </c>
      <c r="B108" s="24">
        <v>3000</v>
      </c>
      <c r="D108" s="43" t="s">
        <v>976</v>
      </c>
    </row>
    <row r="109" spans="1:4">
      <c r="A109" s="20">
        <v>44292</v>
      </c>
      <c r="B109" s="24">
        <v>4000</v>
      </c>
      <c r="D109" s="43" t="s">
        <v>977</v>
      </c>
    </row>
    <row r="110" spans="1:4">
      <c r="A110" s="20">
        <v>44295</v>
      </c>
      <c r="C110" s="33">
        <v>7500</v>
      </c>
      <c r="D110" s="43" t="s">
        <v>978</v>
      </c>
    </row>
    <row r="111" spans="1:4">
      <c r="B111" s="24">
        <v>28000</v>
      </c>
      <c r="D111" s="43" t="s">
        <v>979</v>
      </c>
    </row>
    <row r="112" spans="1:4">
      <c r="C112" s="33">
        <v>1960</v>
      </c>
      <c r="D112" s="43" t="s">
        <v>980</v>
      </c>
    </row>
    <row r="113" spans="1:5">
      <c r="A113" s="20">
        <v>44297</v>
      </c>
      <c r="B113" s="24">
        <v>9000</v>
      </c>
      <c r="D113" s="43" t="s">
        <v>949</v>
      </c>
    </row>
    <row r="114" spans="1:5">
      <c r="B114" s="24">
        <v>2000</v>
      </c>
      <c r="D114" s="43" t="s">
        <v>981</v>
      </c>
    </row>
    <row r="115" spans="1:5">
      <c r="A115" s="20">
        <v>44298</v>
      </c>
      <c r="B115" s="24">
        <v>10000</v>
      </c>
      <c r="D115" s="43" t="s">
        <v>986</v>
      </c>
    </row>
    <row r="116" spans="1:5">
      <c r="B116" s="24">
        <v>6000</v>
      </c>
      <c r="D116" s="43" t="s">
        <v>982</v>
      </c>
    </row>
    <row r="117" spans="1:5">
      <c r="A117" s="20">
        <v>44300</v>
      </c>
      <c r="B117" s="24">
        <v>2000</v>
      </c>
      <c r="D117" s="43" t="s">
        <v>983</v>
      </c>
    </row>
    <row r="118" spans="1:5">
      <c r="C118" s="33">
        <v>4800</v>
      </c>
      <c r="D118" s="43" t="s">
        <v>984</v>
      </c>
    </row>
    <row r="119" spans="1:5">
      <c r="C119" s="33">
        <v>4400</v>
      </c>
      <c r="D119" s="43" t="s">
        <v>985</v>
      </c>
    </row>
    <row r="120" spans="1:5">
      <c r="A120" s="20">
        <v>44301</v>
      </c>
      <c r="B120" s="24">
        <v>10000</v>
      </c>
      <c r="D120" s="43" t="s">
        <v>987</v>
      </c>
    </row>
    <row r="121" spans="1:5">
      <c r="A121" s="20">
        <v>44304</v>
      </c>
      <c r="C121" s="75">
        <v>4800</v>
      </c>
      <c r="D121" s="76" t="s">
        <v>988</v>
      </c>
    </row>
    <row r="122" spans="1:5">
      <c r="B122" s="24">
        <v>12110</v>
      </c>
      <c r="D122" s="43" t="s">
        <v>989</v>
      </c>
    </row>
    <row r="123" spans="1:5">
      <c r="C123" s="33">
        <v>727</v>
      </c>
      <c r="D123" s="43" t="s">
        <v>990</v>
      </c>
    </row>
    <row r="124" spans="1:5">
      <c r="A124" s="20">
        <v>44307</v>
      </c>
      <c r="B124" s="24">
        <v>10000</v>
      </c>
      <c r="D124" s="43" t="s">
        <v>991</v>
      </c>
    </row>
    <row r="125" spans="1:5" s="68" customFormat="1">
      <c r="A125" s="20">
        <v>44308</v>
      </c>
      <c r="B125" s="24"/>
      <c r="C125" s="33">
        <v>10265</v>
      </c>
      <c r="D125" s="43" t="s">
        <v>992</v>
      </c>
      <c r="E125" s="67"/>
    </row>
    <row r="126" spans="1:5" s="68" customFormat="1">
      <c r="A126" s="20"/>
      <c r="B126" s="24">
        <v>6241</v>
      </c>
      <c r="C126" s="33"/>
      <c r="D126" s="43" t="s">
        <v>993</v>
      </c>
      <c r="E126" s="67"/>
    </row>
    <row r="127" spans="1:5">
      <c r="C127" s="33">
        <v>18064</v>
      </c>
      <c r="D127" s="43" t="s">
        <v>994</v>
      </c>
    </row>
    <row r="128" spans="1:5">
      <c r="A128" s="20">
        <v>44309</v>
      </c>
      <c r="C128" s="33">
        <v>10000</v>
      </c>
      <c r="D128" s="43" t="s">
        <v>995</v>
      </c>
    </row>
    <row r="129" spans="1:4">
      <c r="A129" s="20">
        <v>44312</v>
      </c>
      <c r="B129" s="24">
        <v>1500</v>
      </c>
      <c r="D129" s="43" t="s">
        <v>996</v>
      </c>
    </row>
    <row r="130" spans="1:4">
      <c r="A130" s="20">
        <v>44313</v>
      </c>
      <c r="C130" s="33">
        <v>7400</v>
      </c>
      <c r="D130" s="43" t="s">
        <v>997</v>
      </c>
    </row>
    <row r="131" spans="1:4">
      <c r="B131" s="24">
        <v>4060</v>
      </c>
      <c r="D131" s="43" t="s">
        <v>998</v>
      </c>
    </row>
    <row r="132" spans="1:4">
      <c r="C132" s="33">
        <v>285</v>
      </c>
      <c r="D132" s="43" t="s">
        <v>990</v>
      </c>
    </row>
    <row r="133" spans="1:4">
      <c r="B133" s="24">
        <v>1500</v>
      </c>
      <c r="D133" s="43" t="s">
        <v>999</v>
      </c>
    </row>
    <row r="134" spans="1:4">
      <c r="A134" s="20">
        <v>44314</v>
      </c>
      <c r="B134" s="24">
        <v>1500</v>
      </c>
      <c r="D134" s="43" t="s">
        <v>1000</v>
      </c>
    </row>
    <row r="135" spans="1:4">
      <c r="B135" s="24">
        <v>10000</v>
      </c>
      <c r="D135" s="43" t="s">
        <v>1001</v>
      </c>
    </row>
    <row r="136" spans="1:4">
      <c r="C136" s="33">
        <v>150</v>
      </c>
      <c r="D136" s="43" t="s">
        <v>1002</v>
      </c>
    </row>
    <row r="137" spans="1:4">
      <c r="A137" s="20">
        <v>44315</v>
      </c>
      <c r="B137" s="24">
        <v>20000</v>
      </c>
      <c r="D137" s="43" t="s">
        <v>1003</v>
      </c>
    </row>
    <row r="138" spans="1:4">
      <c r="C138" s="33">
        <v>480</v>
      </c>
      <c r="D138" s="43" t="s">
        <v>1004</v>
      </c>
    </row>
    <row r="139" spans="1:4">
      <c r="A139" s="20">
        <v>44319</v>
      </c>
      <c r="B139" s="24">
        <v>16000</v>
      </c>
      <c r="D139" s="43" t="s">
        <v>1005</v>
      </c>
    </row>
    <row r="140" spans="1:4">
      <c r="A140" s="20">
        <v>44260</v>
      </c>
      <c r="B140" s="24">
        <v>1500</v>
      </c>
      <c r="D140" s="43" t="s">
        <v>1006</v>
      </c>
    </row>
    <row r="141" spans="1:4">
      <c r="A141" s="20">
        <v>44261</v>
      </c>
      <c r="C141" s="33">
        <v>3000</v>
      </c>
      <c r="D141" s="43" t="s">
        <v>1007</v>
      </c>
    </row>
    <row r="142" spans="1:4">
      <c r="A142" s="20">
        <v>44324</v>
      </c>
      <c r="B142" s="24">
        <v>6000</v>
      </c>
      <c r="D142" s="43" t="s">
        <v>1008</v>
      </c>
    </row>
    <row r="143" spans="1:4">
      <c r="B143" s="24">
        <v>500</v>
      </c>
      <c r="D143" s="43" t="s">
        <v>1009</v>
      </c>
    </row>
    <row r="144" spans="1:4">
      <c r="C144" s="33">
        <v>6000</v>
      </c>
      <c r="D144" s="43" t="s">
        <v>1010</v>
      </c>
    </row>
    <row r="145" spans="1:4">
      <c r="A145" s="20">
        <v>44325</v>
      </c>
      <c r="B145" s="24">
        <v>5000</v>
      </c>
      <c r="D145" s="43" t="s">
        <v>1011</v>
      </c>
    </row>
    <row r="146" spans="1:4">
      <c r="C146" s="33">
        <v>500</v>
      </c>
      <c r="D146" s="43" t="s">
        <v>1012</v>
      </c>
    </row>
    <row r="147" spans="1:4">
      <c r="A147" s="20">
        <v>44329</v>
      </c>
      <c r="C147" s="75">
        <v>500</v>
      </c>
      <c r="D147" s="76" t="s">
        <v>1013</v>
      </c>
    </row>
    <row r="148" spans="1:4">
      <c r="B148" s="24">
        <v>5280</v>
      </c>
      <c r="D148" s="43" t="s">
        <v>1014</v>
      </c>
    </row>
    <row r="149" spans="1:4">
      <c r="C149" s="33">
        <v>528</v>
      </c>
      <c r="D149" s="43" t="s">
        <v>990</v>
      </c>
    </row>
    <row r="150" spans="1:4">
      <c r="B150" s="74">
        <v>7850</v>
      </c>
      <c r="C150" s="75"/>
      <c r="D150" s="76" t="s">
        <v>1015</v>
      </c>
    </row>
    <row r="151" spans="1:4">
      <c r="A151" s="20">
        <v>44332</v>
      </c>
      <c r="B151" s="24">
        <v>1000</v>
      </c>
      <c r="D151" s="43" t="s">
        <v>1016</v>
      </c>
    </row>
    <row r="152" spans="1:4">
      <c r="B152" s="24">
        <v>2000</v>
      </c>
      <c r="D152" s="43" t="s">
        <v>1017</v>
      </c>
    </row>
    <row r="153" spans="1:4">
      <c r="B153" s="24">
        <v>30000</v>
      </c>
      <c r="D153" s="43" t="s">
        <v>1018</v>
      </c>
    </row>
    <row r="154" spans="1:4">
      <c r="A154" s="20">
        <v>44426</v>
      </c>
      <c r="C154" s="33">
        <v>6700</v>
      </c>
      <c r="D154" s="43" t="s">
        <v>1019</v>
      </c>
    </row>
    <row r="155" spans="1:4">
      <c r="A155" s="20">
        <v>44335</v>
      </c>
      <c r="B155" s="24">
        <v>3000</v>
      </c>
      <c r="D155" s="43" t="s">
        <v>1020</v>
      </c>
    </row>
    <row r="156" spans="1:4">
      <c r="C156" s="33">
        <v>6700</v>
      </c>
      <c r="D156" s="43" t="s">
        <v>1021</v>
      </c>
    </row>
    <row r="157" spans="1:4">
      <c r="C157" s="33">
        <v>4500</v>
      </c>
      <c r="D157" s="43" t="s">
        <v>1022</v>
      </c>
    </row>
    <row r="158" spans="1:4">
      <c r="A158" s="20">
        <v>44336</v>
      </c>
      <c r="B158" s="24">
        <v>1000</v>
      </c>
      <c r="D158" s="43" t="s">
        <v>1023</v>
      </c>
    </row>
    <row r="159" spans="1:4">
      <c r="A159" s="20">
        <v>44337</v>
      </c>
      <c r="B159" s="24">
        <v>5000</v>
      </c>
      <c r="D159" s="43" t="s">
        <v>1024</v>
      </c>
    </row>
    <row r="160" spans="1:4">
      <c r="C160" s="33">
        <v>4500</v>
      </c>
      <c r="D160" s="43" t="s">
        <v>1025</v>
      </c>
    </row>
    <row r="161" spans="1:4">
      <c r="B161" s="24">
        <v>5000</v>
      </c>
      <c r="D161" s="43" t="s">
        <v>1026</v>
      </c>
    </row>
    <row r="162" spans="1:4">
      <c r="A162" s="20">
        <v>44341</v>
      </c>
      <c r="C162" s="33">
        <v>450</v>
      </c>
      <c r="D162" s="43" t="s">
        <v>1027</v>
      </c>
    </row>
    <row r="163" spans="1:4">
      <c r="B163" s="24">
        <v>430000</v>
      </c>
      <c r="D163" s="43" t="s">
        <v>1028</v>
      </c>
    </row>
    <row r="164" spans="1:4">
      <c r="C164" s="33">
        <v>25800</v>
      </c>
      <c r="D164" s="43" t="s">
        <v>990</v>
      </c>
    </row>
    <row r="165" spans="1:4">
      <c r="C165" s="33">
        <v>100000</v>
      </c>
      <c r="D165" s="43" t="s">
        <v>1029</v>
      </c>
    </row>
    <row r="166" spans="1:4">
      <c r="A166" s="20">
        <v>44342</v>
      </c>
      <c r="C166" s="33">
        <v>10600</v>
      </c>
      <c r="D166" s="43" t="s">
        <v>1030</v>
      </c>
    </row>
    <row r="167" spans="1:4">
      <c r="B167" s="24">
        <v>4000</v>
      </c>
      <c r="D167" s="43" t="s">
        <v>1031</v>
      </c>
    </row>
    <row r="168" spans="1:4">
      <c r="A168" s="20">
        <v>44343</v>
      </c>
      <c r="C168" s="33">
        <v>1200</v>
      </c>
      <c r="D168" s="43" t="s">
        <v>1032</v>
      </c>
    </row>
    <row r="169" spans="1:4">
      <c r="A169" s="20">
        <v>44344</v>
      </c>
      <c r="C169" s="33">
        <v>30000</v>
      </c>
      <c r="D169" s="43" t="s">
        <v>1033</v>
      </c>
    </row>
    <row r="170" spans="1:4">
      <c r="A170" s="20">
        <v>44347</v>
      </c>
      <c r="C170" s="75">
        <v>1174</v>
      </c>
      <c r="D170" s="76" t="s">
        <v>1034</v>
      </c>
    </row>
    <row r="171" spans="1:4">
      <c r="C171" s="33">
        <v>3400</v>
      </c>
      <c r="D171" s="43" t="s">
        <v>1035</v>
      </c>
    </row>
    <row r="172" spans="1:4">
      <c r="B172" s="24">
        <v>3000</v>
      </c>
      <c r="D172" s="43" t="s">
        <v>1036</v>
      </c>
    </row>
    <row r="173" spans="1:4">
      <c r="A173" s="20">
        <v>44348</v>
      </c>
      <c r="B173" s="24">
        <v>36500</v>
      </c>
      <c r="D173" s="43" t="s">
        <v>1037</v>
      </c>
    </row>
    <row r="174" spans="1:4">
      <c r="C174" s="85">
        <v>2000</v>
      </c>
      <c r="D174" s="86" t="s">
        <v>1038</v>
      </c>
    </row>
    <row r="175" spans="1:4">
      <c r="C175" s="85">
        <v>4350</v>
      </c>
      <c r="D175" s="86" t="s">
        <v>1039</v>
      </c>
    </row>
    <row r="176" spans="1:4">
      <c r="A176" s="20">
        <v>44350</v>
      </c>
      <c r="B176" s="24">
        <v>7379</v>
      </c>
      <c r="D176" s="43" t="s">
        <v>1040</v>
      </c>
    </row>
    <row r="177" spans="1:4">
      <c r="C177" s="33">
        <v>220000</v>
      </c>
      <c r="D177" s="43" t="s">
        <v>1041</v>
      </c>
    </row>
    <row r="178" spans="1:4">
      <c r="B178" s="24">
        <v>15000</v>
      </c>
      <c r="D178" s="43" t="s">
        <v>1045</v>
      </c>
    </row>
    <row r="179" spans="1:4">
      <c r="C179" s="33">
        <v>1500</v>
      </c>
      <c r="D179" s="43" t="s">
        <v>990</v>
      </c>
    </row>
    <row r="180" spans="1:4">
      <c r="A180" s="20">
        <v>44351</v>
      </c>
      <c r="B180" s="24">
        <v>350000</v>
      </c>
      <c r="D180" s="43" t="s">
        <v>1042</v>
      </c>
    </row>
    <row r="181" spans="1:4">
      <c r="C181" s="33">
        <v>6500</v>
      </c>
      <c r="D181" s="43" t="s">
        <v>1043</v>
      </c>
    </row>
    <row r="182" spans="1:4">
      <c r="A182" s="20">
        <v>44354</v>
      </c>
      <c r="C182" s="33">
        <v>9000</v>
      </c>
      <c r="D182" s="43" t="s">
        <v>1044</v>
      </c>
    </row>
    <row r="183" spans="1:4">
      <c r="C183" s="33">
        <v>14500</v>
      </c>
      <c r="D183" s="43" t="s">
        <v>1046</v>
      </c>
    </row>
    <row r="184" spans="1:4">
      <c r="C184" s="33">
        <v>2500</v>
      </c>
      <c r="D184" s="43" t="s">
        <v>1047</v>
      </c>
    </row>
    <row r="185" spans="1:4">
      <c r="B185" s="24">
        <v>45966</v>
      </c>
      <c r="D185" s="43" t="s">
        <v>1048</v>
      </c>
    </row>
    <row r="186" spans="1:4">
      <c r="A186" s="20">
        <v>44355</v>
      </c>
      <c r="C186" s="33">
        <v>150000</v>
      </c>
      <c r="D186" s="43" t="s">
        <v>1049</v>
      </c>
    </row>
    <row r="187" spans="1:4">
      <c r="C187" s="33">
        <v>1100</v>
      </c>
      <c r="D187" s="43" t="s">
        <v>1050</v>
      </c>
    </row>
    <row r="188" spans="1:4">
      <c r="C188" s="75">
        <v>6600</v>
      </c>
      <c r="D188" s="76" t="s">
        <v>1051</v>
      </c>
    </row>
    <row r="189" spans="1:4">
      <c r="B189" s="24">
        <v>15000</v>
      </c>
      <c r="D189" s="43" t="s">
        <v>1024</v>
      </c>
    </row>
    <row r="190" spans="1:4">
      <c r="B190" s="24">
        <v>10000</v>
      </c>
      <c r="D190" s="43" t="s">
        <v>1052</v>
      </c>
    </row>
    <row r="191" spans="1:4">
      <c r="A191" s="20">
        <v>44357</v>
      </c>
      <c r="C191" s="33">
        <v>24500</v>
      </c>
      <c r="D191" s="43" t="s">
        <v>1053</v>
      </c>
    </row>
    <row r="192" spans="1:4">
      <c r="C192" s="33">
        <v>11000</v>
      </c>
      <c r="D192" s="43" t="s">
        <v>1054</v>
      </c>
    </row>
    <row r="193" spans="1:4">
      <c r="B193" s="24">
        <v>100000</v>
      </c>
      <c r="D193" s="43" t="s">
        <v>1110</v>
      </c>
    </row>
    <row r="194" spans="1:4">
      <c r="C194" s="33">
        <v>1500</v>
      </c>
      <c r="D194" s="43" t="s">
        <v>1055</v>
      </c>
    </row>
    <row r="195" spans="1:4">
      <c r="C195" s="33">
        <v>1500</v>
      </c>
      <c r="D195" s="43" t="s">
        <v>1056</v>
      </c>
    </row>
    <row r="196" spans="1:4">
      <c r="A196" s="20">
        <v>44358</v>
      </c>
      <c r="C196" s="33">
        <v>15300</v>
      </c>
      <c r="D196" s="43" t="s">
        <v>1057</v>
      </c>
    </row>
    <row r="197" spans="1:4">
      <c r="C197" s="33">
        <v>7700</v>
      </c>
      <c r="D197" s="43" t="s">
        <v>1058</v>
      </c>
    </row>
    <row r="198" spans="1:4">
      <c r="B198" s="24">
        <v>6100</v>
      </c>
      <c r="D198" s="43" t="s">
        <v>1059</v>
      </c>
    </row>
    <row r="199" spans="1:4">
      <c r="A199" s="20">
        <v>44360</v>
      </c>
      <c r="B199" s="24">
        <v>18500</v>
      </c>
      <c r="D199" s="43" t="s">
        <v>1060</v>
      </c>
    </row>
    <row r="200" spans="1:4">
      <c r="C200" s="33">
        <v>3000</v>
      </c>
      <c r="D200" s="43" t="s">
        <v>1061</v>
      </c>
    </row>
    <row r="201" spans="1:4">
      <c r="C201" s="33">
        <v>5000</v>
      </c>
      <c r="D201" s="43" t="s">
        <v>1062</v>
      </c>
    </row>
    <row r="202" spans="1:4">
      <c r="C202" s="75">
        <v>500</v>
      </c>
      <c r="D202" s="76" t="s">
        <v>1063</v>
      </c>
    </row>
    <row r="203" spans="1:4">
      <c r="C203" s="75">
        <v>630</v>
      </c>
      <c r="D203" s="76" t="s">
        <v>1064</v>
      </c>
    </row>
    <row r="204" spans="1:4">
      <c r="A204" s="20">
        <v>44361</v>
      </c>
      <c r="B204" s="24">
        <v>4500</v>
      </c>
      <c r="D204" s="43" t="s">
        <v>1065</v>
      </c>
    </row>
    <row r="205" spans="1:4">
      <c r="C205" s="33">
        <v>2000</v>
      </c>
      <c r="D205" s="43" t="s">
        <v>1066</v>
      </c>
    </row>
    <row r="206" spans="1:4">
      <c r="A206" s="20">
        <v>44362</v>
      </c>
      <c r="B206" s="24">
        <v>370000</v>
      </c>
      <c r="D206" s="43" t="s">
        <v>1067</v>
      </c>
    </row>
    <row r="207" spans="1:4">
      <c r="C207" s="33">
        <v>22000</v>
      </c>
      <c r="D207" s="43" t="s">
        <v>990</v>
      </c>
    </row>
    <row r="208" spans="1:4">
      <c r="A208" s="20">
        <v>44363</v>
      </c>
      <c r="C208" s="33">
        <v>78400</v>
      </c>
      <c r="D208" s="43" t="s">
        <v>1068</v>
      </c>
    </row>
    <row r="209" spans="1:4">
      <c r="C209" s="33">
        <v>200000</v>
      </c>
      <c r="D209" s="43" t="s">
        <v>1069</v>
      </c>
    </row>
    <row r="210" spans="1:4">
      <c r="C210" s="75">
        <v>3903</v>
      </c>
      <c r="D210" s="76" t="s">
        <v>1070</v>
      </c>
    </row>
    <row r="211" spans="1:4">
      <c r="A211" s="69">
        <v>44364</v>
      </c>
      <c r="B211" s="70"/>
      <c r="C211" s="71">
        <v>4600</v>
      </c>
      <c r="D211" s="72" t="s">
        <v>1071</v>
      </c>
    </row>
    <row r="212" spans="1:4">
      <c r="A212" s="69"/>
      <c r="B212" s="70"/>
      <c r="C212" s="71">
        <v>950</v>
      </c>
      <c r="D212" s="72" t="s">
        <v>1072</v>
      </c>
    </row>
    <row r="213" spans="1:4">
      <c r="A213" s="69">
        <v>44365</v>
      </c>
      <c r="B213" s="70">
        <v>10400</v>
      </c>
      <c r="C213" s="71"/>
      <c r="D213" s="72" t="s">
        <v>1073</v>
      </c>
    </row>
    <row r="214" spans="1:4">
      <c r="C214" s="33">
        <v>750</v>
      </c>
      <c r="D214" s="43" t="s">
        <v>990</v>
      </c>
    </row>
    <row r="215" spans="1:4">
      <c r="C215" s="33">
        <v>53000</v>
      </c>
      <c r="D215" s="43" t="s">
        <v>1074</v>
      </c>
    </row>
    <row r="216" spans="1:4">
      <c r="C216" s="33">
        <v>6500</v>
      </c>
      <c r="D216" s="43" t="s">
        <v>1075</v>
      </c>
    </row>
    <row r="217" spans="1:4">
      <c r="A217" s="20">
        <v>44366</v>
      </c>
      <c r="B217" s="24">
        <v>1500</v>
      </c>
      <c r="D217" s="43" t="s">
        <v>1076</v>
      </c>
    </row>
    <row r="218" spans="1:4">
      <c r="A218" s="20">
        <v>44369</v>
      </c>
      <c r="B218" s="24">
        <v>50000</v>
      </c>
      <c r="D218" s="43" t="s">
        <v>1083</v>
      </c>
    </row>
    <row r="219" spans="1:4">
      <c r="C219" s="33">
        <v>3000</v>
      </c>
      <c r="D219" s="43" t="s">
        <v>990</v>
      </c>
    </row>
    <row r="220" spans="1:4">
      <c r="A220" s="20">
        <v>44370</v>
      </c>
      <c r="B220" s="24">
        <v>18000</v>
      </c>
      <c r="D220" s="43" t="s">
        <v>1077</v>
      </c>
    </row>
    <row r="221" spans="1:4">
      <c r="C221" s="33">
        <v>8000</v>
      </c>
      <c r="D221" s="43" t="s">
        <v>1078</v>
      </c>
    </row>
    <row r="222" spans="1:4">
      <c r="A222" s="20">
        <v>44371</v>
      </c>
      <c r="C222" s="33">
        <v>5506</v>
      </c>
      <c r="D222" s="43" t="s">
        <v>1079</v>
      </c>
    </row>
    <row r="223" spans="1:4">
      <c r="C223" s="33">
        <v>2700</v>
      </c>
      <c r="D223" s="43" t="s">
        <v>1080</v>
      </c>
    </row>
    <row r="224" spans="1:4">
      <c r="A224" s="79"/>
      <c r="B224"/>
      <c r="C224" s="33">
        <v>6500</v>
      </c>
      <c r="D224" s="43" t="s">
        <v>1081</v>
      </c>
    </row>
    <row r="225" spans="1:4">
      <c r="B225" s="26"/>
      <c r="C225" s="33">
        <v>15000</v>
      </c>
      <c r="D225" s="43" t="s">
        <v>1082</v>
      </c>
    </row>
    <row r="226" spans="1:4">
      <c r="A226" s="20">
        <v>44372</v>
      </c>
      <c r="B226" s="26">
        <v>50000</v>
      </c>
      <c r="D226" s="43" t="s">
        <v>1084</v>
      </c>
    </row>
    <row r="227" spans="1:4">
      <c r="A227" s="20">
        <v>44375</v>
      </c>
      <c r="B227" s="26">
        <v>10000</v>
      </c>
      <c r="D227" s="43" t="s">
        <v>1088</v>
      </c>
    </row>
    <row r="228" spans="1:4">
      <c r="B228" s="26"/>
      <c r="C228" s="33">
        <v>600</v>
      </c>
      <c r="D228" s="43" t="s">
        <v>990</v>
      </c>
    </row>
    <row r="229" spans="1:4">
      <c r="A229" s="20">
        <v>44348</v>
      </c>
      <c r="B229" s="26">
        <v>50000</v>
      </c>
      <c r="D229" s="43" t="s">
        <v>1085</v>
      </c>
    </row>
    <row r="230" spans="1:4">
      <c r="B230" s="26"/>
      <c r="C230" s="33">
        <v>63488</v>
      </c>
      <c r="D230" s="43" t="s">
        <v>1086</v>
      </c>
    </row>
    <row r="231" spans="1:4">
      <c r="B231" s="26"/>
      <c r="C231" s="33">
        <v>40000</v>
      </c>
      <c r="D231" s="43" t="s">
        <v>1087</v>
      </c>
    </row>
    <row r="232" spans="1:4">
      <c r="A232" s="20">
        <v>44384</v>
      </c>
      <c r="B232" s="26"/>
      <c r="C232" s="33">
        <v>550</v>
      </c>
      <c r="D232" s="43" t="s">
        <v>941</v>
      </c>
    </row>
    <row r="233" spans="1:4">
      <c r="A233" s="20">
        <v>44385</v>
      </c>
      <c r="B233" s="26">
        <v>1600</v>
      </c>
      <c r="D233" s="43" t="s">
        <v>1089</v>
      </c>
    </row>
    <row r="234" spans="1:4">
      <c r="B234" s="26">
        <v>80000</v>
      </c>
    </row>
    <row r="235" spans="1:4">
      <c r="B235" s="26">
        <v>25000</v>
      </c>
      <c r="D235" s="43" t="s">
        <v>1090</v>
      </c>
    </row>
    <row r="236" spans="1:4">
      <c r="B236" s="24">
        <v>150000</v>
      </c>
    </row>
    <row r="237" spans="1:4">
      <c r="C237" s="33">
        <v>17850</v>
      </c>
      <c r="D237" s="43" t="s">
        <v>990</v>
      </c>
    </row>
    <row r="238" spans="1:4">
      <c r="A238" s="20">
        <v>44386</v>
      </c>
      <c r="B238" s="24">
        <v>10000</v>
      </c>
      <c r="D238" s="43" t="s">
        <v>1091</v>
      </c>
    </row>
    <row r="239" spans="1:4">
      <c r="C239" s="33">
        <v>700</v>
      </c>
      <c r="D239" s="43" t="s">
        <v>990</v>
      </c>
    </row>
    <row r="240" spans="1:4">
      <c r="A240" s="20">
        <v>44387</v>
      </c>
      <c r="B240" s="24">
        <v>35000</v>
      </c>
      <c r="D240" s="43" t="s">
        <v>1092</v>
      </c>
    </row>
    <row r="241" spans="1:4">
      <c r="A241" s="20">
        <v>44389</v>
      </c>
      <c r="C241" s="33">
        <v>9500</v>
      </c>
      <c r="D241" s="43" t="s">
        <v>1093</v>
      </c>
    </row>
    <row r="242" spans="1:4">
      <c r="A242" s="20">
        <v>44390</v>
      </c>
      <c r="C242" s="33">
        <v>34000</v>
      </c>
      <c r="D242" s="43" t="s">
        <v>1094</v>
      </c>
    </row>
    <row r="243" spans="1:4">
      <c r="A243" s="20">
        <v>44391</v>
      </c>
      <c r="C243" s="33">
        <v>6000</v>
      </c>
      <c r="D243" s="43" t="s">
        <v>1095</v>
      </c>
    </row>
    <row r="244" spans="1:4">
      <c r="A244" s="20">
        <v>44392</v>
      </c>
      <c r="C244" s="33">
        <v>5016</v>
      </c>
      <c r="D244" s="43" t="s">
        <v>1096</v>
      </c>
    </row>
    <row r="245" spans="1:4">
      <c r="C245" s="33">
        <v>34000</v>
      </c>
      <c r="D245" s="43" t="s">
        <v>1099</v>
      </c>
    </row>
    <row r="246" spans="1:4">
      <c r="B246" s="24">
        <v>10000</v>
      </c>
      <c r="D246" s="43" t="s">
        <v>1097</v>
      </c>
    </row>
    <row r="247" spans="1:4">
      <c r="C247" s="33">
        <v>700</v>
      </c>
      <c r="D247" s="43" t="s">
        <v>990</v>
      </c>
    </row>
    <row r="248" spans="1:4">
      <c r="A248" s="20">
        <v>44396</v>
      </c>
      <c r="B248" s="24">
        <v>11000</v>
      </c>
      <c r="D248" s="43" t="s">
        <v>1098</v>
      </c>
    </row>
    <row r="249" spans="1:4">
      <c r="A249" s="20">
        <v>44397</v>
      </c>
      <c r="B249" s="24">
        <v>4000</v>
      </c>
      <c r="D249" s="43" t="s">
        <v>1100</v>
      </c>
    </row>
    <row r="250" spans="1:4">
      <c r="B250" s="24">
        <v>34000</v>
      </c>
      <c r="D250" s="43" t="s">
        <v>1101</v>
      </c>
    </row>
    <row r="251" spans="1:4">
      <c r="C251" s="33">
        <v>2040</v>
      </c>
      <c r="D251" s="43" t="s">
        <v>990</v>
      </c>
    </row>
    <row r="252" spans="1:4">
      <c r="A252" s="20">
        <v>44398</v>
      </c>
      <c r="C252" s="33">
        <v>2160</v>
      </c>
      <c r="D252" s="43" t="s">
        <v>1102</v>
      </c>
    </row>
    <row r="253" spans="1:4">
      <c r="C253" s="33">
        <v>10000</v>
      </c>
      <c r="D253" s="43" t="s">
        <v>1103</v>
      </c>
    </row>
    <row r="254" spans="1:4">
      <c r="A254" s="20">
        <v>44399</v>
      </c>
      <c r="B254" s="24">
        <v>43000</v>
      </c>
      <c r="D254" s="43" t="s">
        <v>1104</v>
      </c>
    </row>
    <row r="255" spans="1:4">
      <c r="A255" s="20">
        <v>44402</v>
      </c>
      <c r="B255" s="24">
        <v>500</v>
      </c>
      <c r="D255" s="43" t="s">
        <v>1105</v>
      </c>
    </row>
    <row r="256" spans="1:4">
      <c r="B256" s="24">
        <v>5000</v>
      </c>
      <c r="D256" s="43" t="s">
        <v>1106</v>
      </c>
    </row>
    <row r="257" spans="1:4">
      <c r="A257" s="20">
        <v>44404</v>
      </c>
      <c r="B257" s="24">
        <v>1000</v>
      </c>
      <c r="D257" s="43" t="s">
        <v>1107</v>
      </c>
    </row>
    <row r="258" spans="1:4">
      <c r="A258" s="20">
        <v>44405</v>
      </c>
      <c r="B258" s="24">
        <v>6000</v>
      </c>
      <c r="D258" s="43" t="s">
        <v>1108</v>
      </c>
    </row>
    <row r="259" spans="1:4">
      <c r="A259" s="20">
        <v>44406</v>
      </c>
      <c r="B259" s="24">
        <v>2000</v>
      </c>
      <c r="D259" s="43" t="s">
        <v>1109</v>
      </c>
    </row>
    <row r="260" spans="1:4">
      <c r="A260" s="20">
        <v>44411</v>
      </c>
      <c r="C260" s="75">
        <v>1200</v>
      </c>
      <c r="D260" s="76" t="s">
        <v>1112</v>
      </c>
    </row>
    <row r="261" spans="1:4">
      <c r="C261" s="33">
        <v>1200</v>
      </c>
      <c r="D261" s="43" t="s">
        <v>1111</v>
      </c>
    </row>
    <row r="262" spans="1:4">
      <c r="A262" s="20">
        <v>44412</v>
      </c>
      <c r="B262" s="24">
        <v>33000</v>
      </c>
      <c r="D262" s="43" t="s">
        <v>1113</v>
      </c>
    </row>
    <row r="263" spans="1:4">
      <c r="C263" s="33">
        <v>18000</v>
      </c>
      <c r="D263" s="43" t="s">
        <v>1114</v>
      </c>
    </row>
    <row r="264" spans="1:4">
      <c r="C264" s="33">
        <v>4800</v>
      </c>
      <c r="D264" s="43" t="s">
        <v>1115</v>
      </c>
    </row>
    <row r="265" spans="1:4">
      <c r="B265" s="24">
        <v>6000</v>
      </c>
      <c r="D265" s="43" t="s">
        <v>1116</v>
      </c>
    </row>
    <row r="266" spans="1:4">
      <c r="A266" s="20">
        <v>44413</v>
      </c>
      <c r="B266" s="24">
        <v>60000</v>
      </c>
      <c r="D266" s="43" t="s">
        <v>1117</v>
      </c>
    </row>
    <row r="267" spans="1:4">
      <c r="C267" s="33">
        <v>8000</v>
      </c>
      <c r="D267" s="43" t="s">
        <v>1118</v>
      </c>
    </row>
    <row r="268" spans="1:4">
      <c r="B268" s="24">
        <v>5000</v>
      </c>
      <c r="D268" s="43" t="s">
        <v>1119</v>
      </c>
    </row>
    <row r="269" spans="1:4">
      <c r="A269" s="20">
        <v>44414</v>
      </c>
      <c r="B269" s="24">
        <v>10000</v>
      </c>
      <c r="D269" s="43" t="s">
        <v>1120</v>
      </c>
    </row>
    <row r="270" spans="1:4">
      <c r="C270" s="33">
        <v>5000</v>
      </c>
      <c r="D270" s="43" t="s">
        <v>1121</v>
      </c>
    </row>
    <row r="271" spans="1:4">
      <c r="B271" s="24">
        <v>1600</v>
      </c>
      <c r="D271" s="43" t="s">
        <v>1122</v>
      </c>
    </row>
    <row r="272" spans="1:4">
      <c r="A272" s="20">
        <v>44427</v>
      </c>
      <c r="B272" s="24">
        <v>81840</v>
      </c>
      <c r="D272" s="43" t="s">
        <v>1123</v>
      </c>
    </row>
    <row r="273" spans="1:4">
      <c r="C273" s="33">
        <v>40920</v>
      </c>
      <c r="D273" s="43" t="s">
        <v>1124</v>
      </c>
    </row>
    <row r="274" spans="1:4">
      <c r="A274" s="20">
        <v>44428</v>
      </c>
      <c r="B274" s="24">
        <v>6000</v>
      </c>
      <c r="D274" s="43" t="s">
        <v>1125</v>
      </c>
    </row>
    <row r="275" spans="1:4">
      <c r="A275" s="20">
        <v>44434</v>
      </c>
      <c r="B275" s="24">
        <v>30000</v>
      </c>
      <c r="D275" s="43" t="s">
        <v>1126</v>
      </c>
    </row>
    <row r="276" spans="1:4">
      <c r="C276" s="33">
        <v>2100</v>
      </c>
      <c r="D276" s="43" t="s">
        <v>990</v>
      </c>
    </row>
    <row r="277" spans="1:4">
      <c r="A277" s="20">
        <v>44436</v>
      </c>
      <c r="B277" s="24">
        <v>2000</v>
      </c>
      <c r="D277" s="43" t="s">
        <v>1127</v>
      </c>
    </row>
    <row r="278" spans="1:4">
      <c r="C278" s="33">
        <v>100</v>
      </c>
      <c r="D278" s="43" t="s">
        <v>1128</v>
      </c>
    </row>
    <row r="279" spans="1:4">
      <c r="A279" s="20">
        <v>44438</v>
      </c>
      <c r="C279" s="33">
        <v>650</v>
      </c>
      <c r="D279" s="43" t="s">
        <v>1129</v>
      </c>
    </row>
    <row r="280" spans="1:4">
      <c r="C280" s="33">
        <v>650</v>
      </c>
      <c r="D280" s="43" t="s">
        <v>1130</v>
      </c>
    </row>
    <row r="281" spans="1:4">
      <c r="B281" s="24">
        <v>1900</v>
      </c>
      <c r="D281" s="43" t="s">
        <v>790</v>
      </c>
    </row>
    <row r="282" spans="1:4">
      <c r="B282" s="24">
        <v>6600</v>
      </c>
      <c r="D282" s="43" t="s">
        <v>1131</v>
      </c>
    </row>
    <row r="283" spans="1:4">
      <c r="C283" s="33">
        <v>400</v>
      </c>
      <c r="D283" s="43" t="s">
        <v>990</v>
      </c>
    </row>
    <row r="284" spans="1:4">
      <c r="C284" s="33">
        <v>5000</v>
      </c>
      <c r="D284" s="43" t="s">
        <v>1132</v>
      </c>
    </row>
    <row r="285" spans="1:4">
      <c r="A285" s="20">
        <v>44441</v>
      </c>
      <c r="C285" s="87">
        <v>1500</v>
      </c>
      <c r="D285" s="88" t="s">
        <v>1133</v>
      </c>
    </row>
    <row r="286" spans="1:4">
      <c r="A286" s="20">
        <v>44445</v>
      </c>
      <c r="C286" s="33">
        <v>1500</v>
      </c>
      <c r="D286" s="43" t="s">
        <v>1134</v>
      </c>
    </row>
    <row r="287" spans="1:4">
      <c r="C287" s="33">
        <v>490</v>
      </c>
      <c r="D287" s="43" t="s">
        <v>1135</v>
      </c>
    </row>
    <row r="288" spans="1:4">
      <c r="C288" s="33">
        <v>4200</v>
      </c>
      <c r="D288" s="43" t="s">
        <v>1136</v>
      </c>
    </row>
    <row r="289" spans="1:4">
      <c r="B289" s="24">
        <v>2000</v>
      </c>
      <c r="D289" s="43" t="s">
        <v>1137</v>
      </c>
    </row>
    <row r="290" spans="1:4">
      <c r="B290" s="24">
        <v>10000</v>
      </c>
      <c r="D290" s="43" t="s">
        <v>1138</v>
      </c>
    </row>
    <row r="291" spans="1:4">
      <c r="B291" s="24">
        <v>14000</v>
      </c>
      <c r="D291" s="43" t="s">
        <v>1139</v>
      </c>
    </row>
    <row r="292" spans="1:4">
      <c r="B292" s="89">
        <v>20000</v>
      </c>
      <c r="C292" s="87"/>
      <c r="D292" s="90" t="s">
        <v>1140</v>
      </c>
    </row>
    <row r="293" spans="1:4">
      <c r="C293" s="33">
        <v>9000</v>
      </c>
      <c r="D293" s="43" t="s">
        <v>1141</v>
      </c>
    </row>
    <row r="294" spans="1:4">
      <c r="B294" s="24">
        <v>2000</v>
      </c>
      <c r="D294" s="43" t="s">
        <v>1142</v>
      </c>
    </row>
    <row r="295" spans="1:4">
      <c r="C295" s="33">
        <v>1000</v>
      </c>
      <c r="D295" s="43" t="s">
        <v>1143</v>
      </c>
    </row>
    <row r="296" spans="1:4">
      <c r="A296" s="20">
        <v>44446</v>
      </c>
      <c r="B296" s="24">
        <v>2000</v>
      </c>
      <c r="D296" s="43" t="s">
        <v>1144</v>
      </c>
    </row>
    <row r="297" spans="1:4">
      <c r="B297" s="89"/>
      <c r="C297" s="87">
        <v>5000</v>
      </c>
      <c r="D297" s="88" t="s">
        <v>1145</v>
      </c>
    </row>
    <row r="298" spans="1:4">
      <c r="B298" s="24">
        <v>18940</v>
      </c>
      <c r="D298" s="43" t="s">
        <v>1146</v>
      </c>
    </row>
    <row r="299" spans="1:4">
      <c r="C299" s="33">
        <v>1137</v>
      </c>
      <c r="D299" s="43" t="s">
        <v>990</v>
      </c>
    </row>
    <row r="300" spans="1:4">
      <c r="A300" s="20">
        <v>44448</v>
      </c>
      <c r="C300" s="33">
        <v>5100</v>
      </c>
      <c r="D300" s="43" t="s">
        <v>1147</v>
      </c>
    </row>
    <row r="301" spans="1:4">
      <c r="C301" s="33">
        <v>1200</v>
      </c>
      <c r="D301" s="43" t="s">
        <v>1148</v>
      </c>
    </row>
    <row r="302" spans="1:4">
      <c r="C302" s="33">
        <v>1300</v>
      </c>
      <c r="D302" s="43" t="s">
        <v>1149</v>
      </c>
    </row>
    <row r="303" spans="1:4">
      <c r="A303" s="20">
        <v>44452</v>
      </c>
      <c r="B303" s="24">
        <v>3500</v>
      </c>
      <c r="D303" s="43" t="s">
        <v>1150</v>
      </c>
    </row>
    <row r="304" spans="1:4">
      <c r="B304" s="24">
        <v>15000</v>
      </c>
      <c r="D304" s="43" t="s">
        <v>1151</v>
      </c>
    </row>
    <row r="305" spans="1:4">
      <c r="A305" s="20">
        <v>44455</v>
      </c>
      <c r="C305" s="33">
        <v>700</v>
      </c>
      <c r="D305" s="43" t="s">
        <v>1152</v>
      </c>
    </row>
    <row r="306" spans="1:4">
      <c r="A306" s="20">
        <v>44456</v>
      </c>
      <c r="C306" s="33">
        <v>1200</v>
      </c>
      <c r="D306" s="43" t="s">
        <v>1153</v>
      </c>
    </row>
    <row r="307" spans="1:4">
      <c r="A307" s="20">
        <v>44457</v>
      </c>
      <c r="C307" s="75">
        <v>1200</v>
      </c>
      <c r="D307" s="76" t="s">
        <v>1154</v>
      </c>
    </row>
    <row r="308" spans="1:4">
      <c r="A308" s="20">
        <v>44459</v>
      </c>
      <c r="B308" s="24">
        <v>20000</v>
      </c>
      <c r="D308" s="43" t="s">
        <v>1155</v>
      </c>
    </row>
    <row r="309" spans="1:4">
      <c r="C309" s="33">
        <v>11000</v>
      </c>
      <c r="D309" s="43" t="s">
        <v>1156</v>
      </c>
    </row>
    <row r="310" spans="1:4">
      <c r="A310" s="20">
        <v>44460</v>
      </c>
      <c r="B310" s="24">
        <v>12000</v>
      </c>
      <c r="D310" s="43" t="s">
        <v>1157</v>
      </c>
    </row>
    <row r="311" spans="1:4">
      <c r="C311" s="33">
        <v>14065</v>
      </c>
      <c r="D311" s="43" t="s">
        <v>1158</v>
      </c>
    </row>
    <row r="312" spans="1:4">
      <c r="B312" s="24">
        <v>1600</v>
      </c>
      <c r="D312" s="43" t="s">
        <v>1159</v>
      </c>
    </row>
    <row r="313" spans="1:4">
      <c r="B313" s="24">
        <v>4200</v>
      </c>
      <c r="D313" s="43" t="s">
        <v>1160</v>
      </c>
    </row>
    <row r="314" spans="1:4">
      <c r="B314" s="24">
        <v>1600</v>
      </c>
      <c r="D314" s="43" t="s">
        <v>1161</v>
      </c>
    </row>
    <row r="315" spans="1:4">
      <c r="A315" s="20">
        <v>44464</v>
      </c>
      <c r="B315" s="74"/>
      <c r="C315" s="75">
        <v>4500</v>
      </c>
      <c r="D315" s="76" t="s">
        <v>1162</v>
      </c>
    </row>
    <row r="316" spans="1:4">
      <c r="A316" s="20">
        <v>44467</v>
      </c>
      <c r="C316" s="33">
        <v>2000</v>
      </c>
      <c r="D316" s="43" t="s">
        <v>1163</v>
      </c>
    </row>
    <row r="317" spans="1:4">
      <c r="A317" s="20">
        <v>44468</v>
      </c>
      <c r="B317" s="24">
        <v>37000</v>
      </c>
      <c r="D317" s="43" t="s">
        <v>1164</v>
      </c>
    </row>
    <row r="318" spans="1:4">
      <c r="B318" s="24">
        <v>15000</v>
      </c>
      <c r="D318" s="43" t="s">
        <v>1165</v>
      </c>
    </row>
    <row r="319" spans="1:4">
      <c r="C319" s="33">
        <v>4700</v>
      </c>
      <c r="D319" s="43" t="s">
        <v>1166</v>
      </c>
    </row>
    <row r="320" spans="1:4">
      <c r="A320" s="20">
        <v>44472</v>
      </c>
      <c r="B320" s="24">
        <v>1500</v>
      </c>
      <c r="D320" s="43" t="s">
        <v>1167</v>
      </c>
    </row>
    <row r="321" spans="1:4">
      <c r="B321" s="24">
        <v>6000</v>
      </c>
      <c r="D321" s="43" t="s">
        <v>1168</v>
      </c>
    </row>
    <row r="322" spans="1:4">
      <c r="B322" s="24">
        <v>5000</v>
      </c>
      <c r="D322" s="43" t="s">
        <v>1169</v>
      </c>
    </row>
    <row r="323" spans="1:4">
      <c r="A323" s="20">
        <v>44474</v>
      </c>
      <c r="C323" s="33">
        <v>3300</v>
      </c>
      <c r="D323" s="43" t="s">
        <v>1170</v>
      </c>
    </row>
    <row r="324" spans="1:4">
      <c r="B324" s="24">
        <v>75000</v>
      </c>
      <c r="D324" s="43" t="s">
        <v>1171</v>
      </c>
    </row>
    <row r="325" spans="1:4">
      <c r="C325" s="33">
        <v>4500</v>
      </c>
      <c r="D325" s="43" t="s">
        <v>990</v>
      </c>
    </row>
    <row r="326" spans="1:4">
      <c r="A326" s="20">
        <v>44475</v>
      </c>
      <c r="B326" s="24">
        <v>2000</v>
      </c>
      <c r="D326" s="43" t="s">
        <v>1172</v>
      </c>
    </row>
    <row r="327" spans="1:4">
      <c r="A327" s="20">
        <v>44476</v>
      </c>
      <c r="B327" s="24">
        <v>2000</v>
      </c>
      <c r="D327" s="43" t="s">
        <v>1173</v>
      </c>
    </row>
    <row r="328" spans="1:4">
      <c r="A328" s="20">
        <v>44480</v>
      </c>
      <c r="B328" s="24">
        <v>25000</v>
      </c>
      <c r="D328" s="43" t="s">
        <v>1174</v>
      </c>
    </row>
    <row r="329" spans="1:4">
      <c r="B329" s="24">
        <v>1600</v>
      </c>
      <c r="D329" s="43" t="s">
        <v>1175</v>
      </c>
    </row>
    <row r="330" spans="1:4">
      <c r="C330" s="33">
        <v>26600</v>
      </c>
      <c r="D330" s="43" t="s">
        <v>1176</v>
      </c>
    </row>
    <row r="331" spans="1:4">
      <c r="B331" s="74">
        <v>200000</v>
      </c>
      <c r="C331" s="75"/>
      <c r="D331" s="76" t="s">
        <v>1177</v>
      </c>
    </row>
    <row r="332" spans="1:4">
      <c r="B332" s="24">
        <v>36000</v>
      </c>
      <c r="D332" s="43" t="s">
        <v>1178</v>
      </c>
    </row>
    <row r="333" spans="1:4">
      <c r="A333" s="20">
        <v>44483</v>
      </c>
      <c r="C333" s="33">
        <v>9556</v>
      </c>
      <c r="D333" s="43" t="s">
        <v>1179</v>
      </c>
    </row>
    <row r="334" spans="1:4">
      <c r="B334" s="24">
        <v>150000</v>
      </c>
      <c r="D334" s="43" t="s">
        <v>1180</v>
      </c>
    </row>
    <row r="335" spans="1:4">
      <c r="C335" s="33">
        <v>33750</v>
      </c>
      <c r="D335" s="43" t="s">
        <v>1181</v>
      </c>
    </row>
    <row r="336" spans="1:4">
      <c r="C336" s="33">
        <v>67500</v>
      </c>
      <c r="D336" s="43" t="s">
        <v>1182</v>
      </c>
    </row>
    <row r="337" spans="1:4">
      <c r="C337" s="33">
        <v>7500</v>
      </c>
      <c r="D337" s="43" t="s">
        <v>1183</v>
      </c>
    </row>
    <row r="338" spans="1:4">
      <c r="A338" s="20">
        <v>44488</v>
      </c>
      <c r="B338" s="24">
        <v>10000</v>
      </c>
      <c r="D338" s="43" t="s">
        <v>1184</v>
      </c>
    </row>
    <row r="339" spans="1:4">
      <c r="B339" s="24">
        <v>6000</v>
      </c>
      <c r="D339" s="43" t="s">
        <v>1185</v>
      </c>
    </row>
    <row r="340" spans="1:4">
      <c r="B340" s="24">
        <v>9000</v>
      </c>
      <c r="D340" s="43" t="s">
        <v>1186</v>
      </c>
    </row>
    <row r="341" spans="1:4">
      <c r="C341" s="33">
        <v>1560</v>
      </c>
      <c r="D341" s="43" t="s">
        <v>1187</v>
      </c>
    </row>
    <row r="342" spans="1:4">
      <c r="A342" s="20">
        <v>44489</v>
      </c>
      <c r="C342" s="33">
        <v>3560</v>
      </c>
      <c r="D342" s="43" t="s">
        <v>1188</v>
      </c>
    </row>
    <row r="343" spans="1:4">
      <c r="B343" s="24">
        <v>10000</v>
      </c>
      <c r="D343" s="43" t="s">
        <v>1186</v>
      </c>
    </row>
    <row r="344" spans="1:4">
      <c r="B344" s="24">
        <v>40000</v>
      </c>
      <c r="D344" s="43" t="s">
        <v>1189</v>
      </c>
    </row>
    <row r="345" spans="1:4">
      <c r="B345" s="24">
        <v>10000</v>
      </c>
      <c r="D345" s="43" t="s">
        <v>1190</v>
      </c>
    </row>
    <row r="346" spans="1:4">
      <c r="C346" s="33">
        <v>3500</v>
      </c>
      <c r="D346" s="43" t="s">
        <v>990</v>
      </c>
    </row>
    <row r="347" spans="1:4">
      <c r="C347" s="33">
        <v>16800</v>
      </c>
      <c r="D347" s="43" t="s">
        <v>1191</v>
      </c>
    </row>
    <row r="348" spans="1:4">
      <c r="A348" s="20">
        <v>44490</v>
      </c>
      <c r="C348" s="33">
        <v>2000</v>
      </c>
      <c r="D348" s="43" t="s">
        <v>1192</v>
      </c>
    </row>
    <row r="349" spans="1:4">
      <c r="A349" s="20">
        <v>41207</v>
      </c>
      <c r="C349" s="33">
        <v>2800</v>
      </c>
      <c r="D349" s="43" t="s">
        <v>1193</v>
      </c>
    </row>
    <row r="350" spans="1:4">
      <c r="C350" s="33">
        <v>1000</v>
      </c>
      <c r="D350" s="43" t="s">
        <v>1194</v>
      </c>
    </row>
    <row r="351" spans="1:4">
      <c r="C351" s="33">
        <v>5740</v>
      </c>
      <c r="D351" s="43" t="s">
        <v>1195</v>
      </c>
    </row>
    <row r="352" spans="1:4">
      <c r="C352" s="33">
        <v>1100</v>
      </c>
      <c r="D352" s="43" t="s">
        <v>1196</v>
      </c>
    </row>
    <row r="353" spans="1:4">
      <c r="C353" s="33">
        <v>500</v>
      </c>
      <c r="D353" s="43" t="s">
        <v>1197</v>
      </c>
    </row>
    <row r="354" spans="1:4">
      <c r="C354" s="33">
        <v>21100</v>
      </c>
      <c r="D354" s="43" t="s">
        <v>1198</v>
      </c>
    </row>
    <row r="355" spans="1:4">
      <c r="C355" s="33">
        <v>8000</v>
      </c>
      <c r="D355" s="43" t="s">
        <v>1199</v>
      </c>
    </row>
    <row r="356" spans="1:4">
      <c r="B356" s="24">
        <v>9400</v>
      </c>
      <c r="D356" s="43" t="s">
        <v>1200</v>
      </c>
    </row>
    <row r="357" spans="1:4">
      <c r="A357" s="20">
        <v>44495</v>
      </c>
      <c r="C357" s="33">
        <v>513</v>
      </c>
      <c r="D357" s="43" t="s">
        <v>1201</v>
      </c>
    </row>
    <row r="358" spans="1:4">
      <c r="C358" s="33">
        <v>2116</v>
      </c>
      <c r="D358" s="43" t="s">
        <v>1202</v>
      </c>
    </row>
    <row r="359" spans="1:4">
      <c r="C359" s="33">
        <v>2300</v>
      </c>
      <c r="D359" s="43" t="s">
        <v>1196</v>
      </c>
    </row>
    <row r="360" spans="1:4">
      <c r="C360" s="33">
        <v>1200</v>
      </c>
      <c r="D360" s="43" t="s">
        <v>1203</v>
      </c>
    </row>
    <row r="361" spans="1:4">
      <c r="A361" s="20">
        <v>44498</v>
      </c>
      <c r="B361" s="24">
        <v>70000</v>
      </c>
      <c r="D361" s="43" t="s">
        <v>1204</v>
      </c>
    </row>
    <row r="362" spans="1:4">
      <c r="C362" s="33">
        <v>500</v>
      </c>
      <c r="D362" s="43" t="s">
        <v>912</v>
      </c>
    </row>
    <row r="363" spans="1:4">
      <c r="A363" s="20">
        <v>44501</v>
      </c>
      <c r="C363" s="33">
        <v>470</v>
      </c>
      <c r="D363" s="43" t="s">
        <v>1205</v>
      </c>
    </row>
    <row r="364" spans="1:4">
      <c r="A364" s="20">
        <v>44502</v>
      </c>
      <c r="C364" s="33">
        <v>8000</v>
      </c>
      <c r="D364" s="43" t="s">
        <v>1206</v>
      </c>
    </row>
    <row r="365" spans="1:4">
      <c r="B365" s="24">
        <v>20000</v>
      </c>
      <c r="D365" s="43" t="s">
        <v>1207</v>
      </c>
    </row>
    <row r="366" spans="1:4">
      <c r="A366" s="20">
        <v>44504</v>
      </c>
      <c r="C366" s="33">
        <v>18800</v>
      </c>
      <c r="D366" s="43" t="s">
        <v>863</v>
      </c>
    </row>
    <row r="367" spans="1:4">
      <c r="B367" s="24">
        <v>5000</v>
      </c>
      <c r="D367" s="43" t="s">
        <v>1208</v>
      </c>
    </row>
    <row r="368" spans="1:4">
      <c r="C368" s="33">
        <v>3600</v>
      </c>
      <c r="D368" s="43" t="s">
        <v>1209</v>
      </c>
    </row>
    <row r="369" spans="1:4">
      <c r="A369" s="20">
        <v>44507</v>
      </c>
      <c r="C369" s="33">
        <v>1000</v>
      </c>
      <c r="D369" s="43" t="s">
        <v>1210</v>
      </c>
    </row>
    <row r="370" spans="1:4">
      <c r="B370" s="24">
        <v>42000</v>
      </c>
      <c r="D370" s="43" t="s">
        <v>1211</v>
      </c>
    </row>
    <row r="371" spans="1:4">
      <c r="B371" s="24">
        <v>15000</v>
      </c>
      <c r="D371" s="43" t="s">
        <v>1212</v>
      </c>
    </row>
    <row r="372" spans="1:4">
      <c r="C372" s="33">
        <v>700</v>
      </c>
      <c r="D372" s="43" t="s">
        <v>1213</v>
      </c>
    </row>
    <row r="373" spans="1:4">
      <c r="A373" s="20">
        <v>44508</v>
      </c>
      <c r="C373" s="33">
        <v>7600</v>
      </c>
      <c r="D373" s="43" t="s">
        <v>1214</v>
      </c>
    </row>
    <row r="374" spans="1:4">
      <c r="A374" s="20">
        <v>44509</v>
      </c>
      <c r="B374" s="24">
        <v>5127</v>
      </c>
      <c r="D374" s="43" t="s">
        <v>1215</v>
      </c>
    </row>
    <row r="375" spans="1:4">
      <c r="B375" s="24">
        <v>90000</v>
      </c>
      <c r="D375" s="43" t="s">
        <v>1216</v>
      </c>
    </row>
    <row r="376" spans="1:4">
      <c r="B376" s="24">
        <v>10000</v>
      </c>
      <c r="D376" s="43" t="s">
        <v>1217</v>
      </c>
    </row>
    <row r="377" spans="1:4">
      <c r="A377" s="20">
        <v>44511</v>
      </c>
      <c r="B377" s="24">
        <v>150000</v>
      </c>
      <c r="D377" s="43" t="s">
        <v>1218</v>
      </c>
    </row>
    <row r="378" spans="1:4">
      <c r="C378" s="33">
        <v>9000</v>
      </c>
      <c r="D378" s="43" t="s">
        <v>1219</v>
      </c>
    </row>
    <row r="379" spans="1:4">
      <c r="B379" s="24">
        <v>4000</v>
      </c>
      <c r="D379" s="43" t="s">
        <v>1220</v>
      </c>
    </row>
    <row r="380" spans="1:4">
      <c r="A380" s="20">
        <v>44512</v>
      </c>
      <c r="B380" s="24">
        <v>5000</v>
      </c>
      <c r="D380" s="43" t="s">
        <v>1221</v>
      </c>
    </row>
    <row r="381" spans="1:4">
      <c r="A381" s="20">
        <v>44514</v>
      </c>
      <c r="B381" s="24">
        <v>3000</v>
      </c>
      <c r="D381" s="43" t="s">
        <v>1222</v>
      </c>
    </row>
    <row r="382" spans="1:4">
      <c r="A382" s="20">
        <v>44515</v>
      </c>
      <c r="C382" s="33">
        <v>1900</v>
      </c>
      <c r="D382" s="43" t="s">
        <v>941</v>
      </c>
    </row>
    <row r="383" spans="1:4">
      <c r="C383" s="33">
        <v>2000</v>
      </c>
      <c r="D383" s="43" t="s">
        <v>1223</v>
      </c>
    </row>
    <row r="384" spans="1:4">
      <c r="B384" s="24">
        <v>3000</v>
      </c>
      <c r="D384" s="43" t="s">
        <v>790</v>
      </c>
    </row>
    <row r="385" spans="1:4">
      <c r="B385" s="24">
        <v>2000</v>
      </c>
      <c r="D385" s="43" t="s">
        <v>1224</v>
      </c>
    </row>
    <row r="386" spans="1:4">
      <c r="B386" s="24">
        <v>10000</v>
      </c>
      <c r="D386" s="43" t="s">
        <v>1225</v>
      </c>
    </row>
    <row r="387" spans="1:4">
      <c r="A387" s="20">
        <v>44516</v>
      </c>
      <c r="C387" s="33">
        <v>1000</v>
      </c>
      <c r="D387" s="43" t="s">
        <v>1226</v>
      </c>
    </row>
    <row r="388" spans="1:4">
      <c r="A388" s="20">
        <v>44517</v>
      </c>
      <c r="C388" s="33">
        <v>4980</v>
      </c>
      <c r="D388" s="43" t="s">
        <v>1227</v>
      </c>
    </row>
    <row r="389" spans="1:4">
      <c r="C389" s="33">
        <v>15000</v>
      </c>
      <c r="D389" s="43" t="s">
        <v>1228</v>
      </c>
    </row>
    <row r="390" spans="1:4">
      <c r="C390" s="33">
        <v>1200</v>
      </c>
      <c r="D390" s="43" t="s">
        <v>1229</v>
      </c>
    </row>
    <row r="391" spans="1:4">
      <c r="A391" s="20">
        <v>44518</v>
      </c>
      <c r="C391" s="33">
        <v>5500</v>
      </c>
      <c r="D391" s="43" t="s">
        <v>1230</v>
      </c>
    </row>
    <row r="392" spans="1:4">
      <c r="C392" s="33">
        <v>700</v>
      </c>
      <c r="D392" s="43" t="s">
        <v>1231</v>
      </c>
    </row>
    <row r="393" spans="1:4">
      <c r="A393" s="20">
        <v>44522</v>
      </c>
      <c r="C393" s="33">
        <v>5500</v>
      </c>
      <c r="D393" s="43" t="s">
        <v>1232</v>
      </c>
    </row>
    <row r="394" spans="1:4">
      <c r="C394" s="33">
        <v>1000</v>
      </c>
      <c r="D394" s="43" t="s">
        <v>1233</v>
      </c>
    </row>
    <row r="395" spans="1:4">
      <c r="A395" s="20">
        <v>44524</v>
      </c>
      <c r="B395" s="24">
        <v>30000</v>
      </c>
      <c r="D395" s="43" t="s">
        <v>1234</v>
      </c>
    </row>
    <row r="396" spans="1:4">
      <c r="B396" s="24">
        <v>20000</v>
      </c>
      <c r="D396" s="43" t="s">
        <v>1235</v>
      </c>
    </row>
    <row r="397" spans="1:4">
      <c r="B397" s="24">
        <v>10000</v>
      </c>
      <c r="D397" s="43" t="s">
        <v>1236</v>
      </c>
    </row>
    <row r="398" spans="1:4">
      <c r="B398" s="24">
        <v>1000</v>
      </c>
      <c r="D398" s="43" t="s">
        <v>1237</v>
      </c>
    </row>
    <row r="399" spans="1:4">
      <c r="B399" s="24">
        <v>1600</v>
      </c>
      <c r="D399" s="43" t="s">
        <v>1238</v>
      </c>
    </row>
    <row r="400" spans="1:4">
      <c r="B400" s="24">
        <v>20000</v>
      </c>
      <c r="D400" s="43" t="s">
        <v>1239</v>
      </c>
    </row>
    <row r="401" spans="1:4">
      <c r="A401" s="20">
        <v>44525</v>
      </c>
      <c r="C401" s="33">
        <v>6000</v>
      </c>
      <c r="D401" s="43" t="s">
        <v>1240</v>
      </c>
    </row>
    <row r="402" spans="1:4">
      <c r="C402" s="33">
        <v>6500</v>
      </c>
      <c r="D402" s="43" t="s">
        <v>1241</v>
      </c>
    </row>
    <row r="403" spans="1:4">
      <c r="A403" s="20">
        <v>44528</v>
      </c>
      <c r="B403" s="24">
        <v>10000</v>
      </c>
      <c r="D403" s="43" t="s">
        <v>1242</v>
      </c>
    </row>
    <row r="404" spans="1:4">
      <c r="C404" s="33">
        <v>2259</v>
      </c>
      <c r="D404" s="43" t="s">
        <v>1245</v>
      </c>
    </row>
    <row r="405" spans="1:4">
      <c r="C405" s="33">
        <v>2400</v>
      </c>
      <c r="D405" s="43" t="s">
        <v>1243</v>
      </c>
    </row>
    <row r="406" spans="1:4">
      <c r="C406" s="33">
        <v>5519</v>
      </c>
      <c r="D406" s="43" t="s">
        <v>1244</v>
      </c>
    </row>
    <row r="407" spans="1:4">
      <c r="A407" s="20">
        <v>44529</v>
      </c>
      <c r="C407" s="33">
        <v>21000</v>
      </c>
      <c r="D407" s="43" t="s">
        <v>1246</v>
      </c>
    </row>
    <row r="408" spans="1:4">
      <c r="C408" s="33">
        <v>5600</v>
      </c>
      <c r="D408" s="43" t="s">
        <v>1247</v>
      </c>
    </row>
    <row r="409" spans="1:4">
      <c r="A409" s="20">
        <v>44530</v>
      </c>
      <c r="C409" s="33">
        <v>20000</v>
      </c>
      <c r="D409" s="43" t="s">
        <v>1248</v>
      </c>
    </row>
    <row r="410" spans="1:4">
      <c r="B410" s="24">
        <v>6600</v>
      </c>
      <c r="D410" s="43" t="s">
        <v>1249</v>
      </c>
    </row>
    <row r="411" spans="1:4">
      <c r="B411" s="24">
        <v>20000</v>
      </c>
      <c r="D411" s="43" t="s">
        <v>1250</v>
      </c>
    </row>
    <row r="412" spans="1:4">
      <c r="A412" s="20">
        <v>44532</v>
      </c>
      <c r="C412" s="33">
        <v>38200</v>
      </c>
      <c r="D412" s="43" t="s">
        <v>1251</v>
      </c>
    </row>
    <row r="413" spans="1:4">
      <c r="C413" s="33">
        <v>1042</v>
      </c>
      <c r="D413" s="43" t="s">
        <v>1252</v>
      </c>
    </row>
    <row r="414" spans="1:4">
      <c r="B414" s="24">
        <v>34968</v>
      </c>
      <c r="D414" s="43" t="s">
        <v>1253</v>
      </c>
    </row>
    <row r="415" spans="1:4">
      <c r="A415" s="20">
        <v>44533</v>
      </c>
      <c r="B415" s="24">
        <v>1504</v>
      </c>
      <c r="D415" s="43" t="s">
        <v>1254</v>
      </c>
    </row>
    <row r="416" spans="1:4">
      <c r="A416" s="20">
        <v>41248</v>
      </c>
      <c r="B416" s="24">
        <v>11500</v>
      </c>
      <c r="D416" s="43" t="s">
        <v>1255</v>
      </c>
    </row>
    <row r="417" spans="1:4">
      <c r="A417" s="20">
        <v>44543</v>
      </c>
      <c r="B417" s="24">
        <v>2000</v>
      </c>
      <c r="D417" s="43" t="s">
        <v>1256</v>
      </c>
    </row>
    <row r="418" spans="1:4">
      <c r="B418" s="24">
        <v>8000</v>
      </c>
      <c r="D418" s="43" t="s">
        <v>1257</v>
      </c>
    </row>
    <row r="419" spans="1:4">
      <c r="B419" s="24">
        <v>1500</v>
      </c>
      <c r="D419" s="43" t="s">
        <v>1258</v>
      </c>
    </row>
    <row r="420" spans="1:4">
      <c r="A420" s="20">
        <v>44544</v>
      </c>
      <c r="B420" s="24">
        <v>10000</v>
      </c>
      <c r="D420" s="43" t="s">
        <v>1259</v>
      </c>
    </row>
    <row r="421" spans="1:4">
      <c r="C421" s="33">
        <v>320</v>
      </c>
      <c r="D421" s="43" t="s">
        <v>1263</v>
      </c>
    </row>
    <row r="422" spans="1:4">
      <c r="B422" s="24">
        <v>4500</v>
      </c>
      <c r="D422" s="43" t="s">
        <v>1260</v>
      </c>
    </row>
    <row r="423" spans="1:4">
      <c r="B423" s="24">
        <v>3000</v>
      </c>
      <c r="D423" s="43" t="s">
        <v>1261</v>
      </c>
    </row>
    <row r="424" spans="1:4">
      <c r="C424" s="33">
        <v>180</v>
      </c>
      <c r="D424" s="43" t="s">
        <v>990</v>
      </c>
    </row>
    <row r="425" spans="1:4">
      <c r="A425" s="20">
        <v>44545</v>
      </c>
      <c r="C425" s="33">
        <v>10500</v>
      </c>
      <c r="D425" s="43" t="s">
        <v>1264</v>
      </c>
    </row>
    <row r="426" spans="1:4">
      <c r="B426" s="24">
        <v>39000</v>
      </c>
      <c r="D426" s="43" t="s">
        <v>1262</v>
      </c>
    </row>
    <row r="427" spans="1:4">
      <c r="A427" s="20">
        <v>44547</v>
      </c>
      <c r="B427" s="24">
        <v>8000</v>
      </c>
      <c r="D427" s="43" t="s">
        <v>1265</v>
      </c>
    </row>
    <row r="428" spans="1:4">
      <c r="C428" s="33">
        <v>480</v>
      </c>
      <c r="D428" s="43" t="s">
        <v>990</v>
      </c>
    </row>
    <row r="429" spans="1:4">
      <c r="C429" s="33">
        <v>3000</v>
      </c>
      <c r="D429" s="43" t="s">
        <v>1266</v>
      </c>
    </row>
    <row r="430" spans="1:4">
      <c r="B430" s="24">
        <v>2000</v>
      </c>
      <c r="D430" s="43" t="s">
        <v>1267</v>
      </c>
    </row>
    <row r="431" spans="1:4">
      <c r="A431" s="20">
        <v>44550</v>
      </c>
      <c r="B431" s="24">
        <v>10000</v>
      </c>
      <c r="D431" s="43" t="s">
        <v>1268</v>
      </c>
    </row>
    <row r="432" spans="1:4">
      <c r="B432" s="24">
        <v>6000</v>
      </c>
      <c r="D432" s="43" t="s">
        <v>1269</v>
      </c>
    </row>
    <row r="433" spans="1:5">
      <c r="A433" s="20">
        <v>44551</v>
      </c>
      <c r="B433" s="24">
        <v>3000</v>
      </c>
      <c r="D433" s="43" t="s">
        <v>1270</v>
      </c>
    </row>
    <row r="434" spans="1:5">
      <c r="C434" s="33">
        <v>950</v>
      </c>
      <c r="D434" s="43" t="s">
        <v>1271</v>
      </c>
    </row>
    <row r="435" spans="1:5">
      <c r="B435" s="24">
        <v>9900</v>
      </c>
      <c r="D435" s="43" t="s">
        <v>1272</v>
      </c>
    </row>
    <row r="436" spans="1:5">
      <c r="C436" s="33">
        <v>594</v>
      </c>
      <c r="D436" s="43" t="s">
        <v>990</v>
      </c>
    </row>
    <row r="437" spans="1:5">
      <c r="A437" s="20">
        <v>44554</v>
      </c>
      <c r="B437" s="24">
        <v>30000</v>
      </c>
      <c r="D437" s="43" t="s">
        <v>1273</v>
      </c>
    </row>
    <row r="438" spans="1:5">
      <c r="A438" s="20">
        <v>44557</v>
      </c>
      <c r="B438" s="24">
        <v>6000</v>
      </c>
      <c r="D438" s="43" t="s">
        <v>1274</v>
      </c>
    </row>
    <row r="439" spans="1:5">
      <c r="B439" s="24">
        <v>4700</v>
      </c>
      <c r="D439" s="43" t="s">
        <v>1275</v>
      </c>
    </row>
    <row r="440" spans="1:5">
      <c r="B440" s="24">
        <v>3000</v>
      </c>
      <c r="D440" s="43" t="s">
        <v>1270</v>
      </c>
    </row>
    <row r="441" spans="1:5">
      <c r="A441" s="20">
        <v>44558</v>
      </c>
      <c r="C441" s="33">
        <v>2500</v>
      </c>
      <c r="D441" s="43" t="s">
        <v>1276</v>
      </c>
    </row>
    <row r="442" spans="1:5">
      <c r="C442" s="33">
        <v>11000</v>
      </c>
      <c r="D442" s="43" t="s">
        <v>1277</v>
      </c>
    </row>
    <row r="443" spans="1:5">
      <c r="A443" s="20">
        <v>44559</v>
      </c>
      <c r="B443" s="24">
        <v>9306</v>
      </c>
      <c r="D443" s="43" t="s">
        <v>1278</v>
      </c>
    </row>
    <row r="444" spans="1:5">
      <c r="B444" s="24">
        <v>10000</v>
      </c>
      <c r="D444" s="43" t="s">
        <v>1279</v>
      </c>
      <c r="E444"/>
    </row>
    <row r="445" spans="1:5">
      <c r="E445"/>
    </row>
    <row r="446" spans="1:5">
      <c r="E446"/>
    </row>
    <row r="447" spans="1:5">
      <c r="E447"/>
    </row>
    <row r="448" spans="1:5">
      <c r="E448"/>
    </row>
    <row r="449" spans="5:5">
      <c r="E449"/>
    </row>
    <row r="450" spans="5:5">
      <c r="E450"/>
    </row>
    <row r="512" spans="1:5" s="11" customFormat="1">
      <c r="A512" s="55"/>
      <c r="B512" s="27"/>
      <c r="C512" s="35"/>
      <c r="D512" s="45"/>
      <c r="E512" s="12"/>
    </row>
    <row r="674" spans="1:5" s="10" customFormat="1">
      <c r="A674" s="21"/>
      <c r="B674" s="25"/>
      <c r="C674" s="34"/>
      <c r="D674" s="44"/>
      <c r="E674" s="9"/>
    </row>
    <row r="769" spans="1:5" s="11" customFormat="1">
      <c r="A769" s="55"/>
      <c r="B769" s="27"/>
      <c r="C769" s="35"/>
      <c r="D769" s="45"/>
      <c r="E769" s="12"/>
    </row>
    <row r="800" spans="1:5" s="10" customFormat="1">
      <c r="A800" s="21"/>
      <c r="B800" s="25"/>
      <c r="C800" s="34"/>
      <c r="D800" s="44"/>
      <c r="E800" s="9"/>
    </row>
    <row r="801" spans="1:5" s="10" customFormat="1">
      <c r="A801" s="21"/>
      <c r="B801" s="25"/>
      <c r="C801" s="34"/>
      <c r="D801" s="44"/>
      <c r="E801" s="9"/>
    </row>
    <row r="823" spans="1:4">
      <c r="B823" s="28"/>
      <c r="C823" s="36"/>
      <c r="D823" s="46"/>
    </row>
    <row r="824" spans="1:4">
      <c r="A824" s="56"/>
      <c r="B824" s="28"/>
      <c r="C824" s="36"/>
      <c r="D824" s="47"/>
    </row>
    <row r="825" spans="1:4">
      <c r="A825" s="56"/>
      <c r="B825" s="28"/>
      <c r="C825" s="36"/>
      <c r="D825" s="47"/>
    </row>
    <row r="826" spans="1:4">
      <c r="A826" s="56"/>
      <c r="B826" s="28"/>
      <c r="C826" s="36"/>
      <c r="D826" s="47"/>
    </row>
    <row r="827" spans="1:4">
      <c r="A827" s="56"/>
    </row>
    <row r="838" spans="3:3">
      <c r="C838" s="37"/>
    </row>
    <row r="954" spans="3:3">
      <c r="C954" s="37"/>
    </row>
    <row r="1005" spans="1:5" s="11" customFormat="1">
      <c r="A1005" s="55"/>
      <c r="B1005" s="27"/>
      <c r="C1005" s="35"/>
      <c r="D1005" s="45"/>
      <c r="E1005" s="12"/>
    </row>
    <row r="1023" spans="4:4">
      <c r="D1023" s="48"/>
    </row>
    <row r="1163" spans="1:5" s="13" customFormat="1">
      <c r="A1163" s="57"/>
      <c r="B1163" s="29"/>
      <c r="C1163" s="38"/>
      <c r="D1163" s="49"/>
      <c r="E1163" s="14"/>
    </row>
    <row r="1279" spans="1:5" s="16" customFormat="1">
      <c r="A1279" s="58"/>
      <c r="B1279" s="30"/>
      <c r="C1279" s="39"/>
      <c r="D1279" s="50"/>
      <c r="E1279" s="15"/>
    </row>
    <row r="1314" spans="1:5">
      <c r="C1314" s="37"/>
    </row>
    <row r="1315" spans="1:5" s="10" customFormat="1">
      <c r="A1315" s="21"/>
      <c r="B1315" s="25"/>
      <c r="C1315" s="34"/>
      <c r="D1315" s="44"/>
      <c r="E1315" s="9"/>
    </row>
    <row r="1325" spans="1:5" s="10" customFormat="1">
      <c r="A1325" s="21"/>
      <c r="B1325" s="25"/>
      <c r="C1325" s="34"/>
      <c r="D1325" s="44"/>
      <c r="E1325" s="9"/>
    </row>
    <row r="1373" spans="1:5" s="16" customFormat="1">
      <c r="A1373" s="58"/>
      <c r="B1373" s="30"/>
      <c r="C1373" s="39"/>
      <c r="D1373" s="50"/>
      <c r="E1373" s="15"/>
    </row>
    <row r="1424" spans="1:5" s="10" customFormat="1">
      <c r="A1424" s="21"/>
      <c r="B1424" s="25"/>
      <c r="C1424" s="34"/>
      <c r="D1424" s="44"/>
      <c r="E1424" s="9"/>
    </row>
    <row r="1447" spans="5:5">
      <c r="E1447"/>
    </row>
    <row r="1506" spans="1:5" s="8" customFormat="1">
      <c r="A1506" s="59"/>
      <c r="B1506" s="31"/>
      <c r="C1506" s="40"/>
      <c r="D1506" s="51"/>
      <c r="E1506" s="7"/>
    </row>
    <row r="1511" spans="1:5" s="8" customFormat="1">
      <c r="A1511" s="59"/>
      <c r="B1511" s="31"/>
      <c r="C1511" s="40"/>
      <c r="D1511" s="51"/>
      <c r="E1511" s="7"/>
    </row>
    <row r="1515" spans="1:5">
      <c r="D1515" s="18"/>
    </row>
    <row r="1516" spans="1:5">
      <c r="D1516" s="18"/>
    </row>
    <row r="1517" spans="1:5">
      <c r="D1517" s="18"/>
    </row>
    <row r="1518" spans="1:5">
      <c r="D1518" s="18"/>
    </row>
    <row r="1519" spans="1:5">
      <c r="D1519" s="18"/>
    </row>
    <row r="1520" spans="1:5">
      <c r="D1520" s="18"/>
    </row>
    <row r="1521" spans="4:4">
      <c r="D1521" s="18"/>
    </row>
    <row r="1522" spans="4:4">
      <c r="D1522" s="18"/>
    </row>
    <row r="1523" spans="4:4">
      <c r="D1523" s="18"/>
    </row>
    <row r="1524" spans="4:4">
      <c r="D1524" s="18"/>
    </row>
    <row r="1525" spans="4:4">
      <c r="D1525" s="18"/>
    </row>
    <row r="1526" spans="4:4">
      <c r="D1526" s="18"/>
    </row>
    <row r="1527" spans="4:4">
      <c r="D1527" s="18"/>
    </row>
    <row r="1529" spans="4:4">
      <c r="D1529" s="18"/>
    </row>
    <row r="1530" spans="4:4">
      <c r="D1530" s="18"/>
    </row>
    <row r="1531" spans="4:4">
      <c r="D1531" s="18"/>
    </row>
    <row r="1532" spans="4:4">
      <c r="D1532" s="18"/>
    </row>
    <row r="1533" spans="4:4">
      <c r="D1533" s="18"/>
    </row>
    <row r="1534" spans="4:4">
      <c r="D1534" s="18"/>
    </row>
    <row r="1535" spans="4:4">
      <c r="D1535" s="18"/>
    </row>
    <row r="1536" spans="4:4">
      <c r="D1536" s="18"/>
    </row>
    <row r="1537" spans="4:4">
      <c r="D1537" s="18"/>
    </row>
    <row r="1538" spans="4:4">
      <c r="D1538" s="18"/>
    </row>
    <row r="1539" spans="4:4">
      <c r="D1539" s="18"/>
    </row>
    <row r="1540" spans="4:4">
      <c r="D1540" s="18"/>
    </row>
    <row r="1541" spans="4:4">
      <c r="D1541" s="18"/>
    </row>
    <row r="1542" spans="4:4">
      <c r="D1542" s="18"/>
    </row>
    <row r="1543" spans="4:4">
      <c r="D1543" s="18"/>
    </row>
    <row r="1560" spans="1:5" s="13" customFormat="1">
      <c r="A1560" s="57"/>
      <c r="B1560" s="29"/>
      <c r="C1560" s="38"/>
      <c r="D1560" s="49"/>
      <c r="E1560" s="14"/>
    </row>
    <row r="1580" spans="4:4">
      <c r="D1580" s="18"/>
    </row>
    <row r="1581" spans="4:4">
      <c r="D1581" s="18"/>
    </row>
    <row r="1582" spans="4:4">
      <c r="D1582" s="18"/>
    </row>
    <row r="1583" spans="4:4">
      <c r="D1583" s="18"/>
    </row>
    <row r="1584" spans="4:4">
      <c r="D1584" s="18"/>
    </row>
    <row r="1585" spans="4:4">
      <c r="D1585" s="18"/>
    </row>
    <row r="1760" spans="4:4">
      <c r="D1760" s="18"/>
    </row>
    <row r="1827" spans="1:4" ht="13.5" thickBot="1"/>
    <row r="1828" spans="1:4" ht="15.75" thickBot="1">
      <c r="A1828" s="60"/>
      <c r="B1828" s="53"/>
      <c r="C1828" s="54"/>
      <c r="D1828" s="52"/>
    </row>
    <row r="1829" spans="1:4" ht="15.75" thickBot="1">
      <c r="A1829" s="60"/>
      <c r="B1829" s="53"/>
      <c r="C1829" s="54"/>
      <c r="D1829" s="52"/>
    </row>
    <row r="1830" spans="1:4" ht="15.75" thickBot="1">
      <c r="A1830" s="60"/>
      <c r="B1830" s="53"/>
      <c r="C1830" s="54"/>
      <c r="D1830" s="52"/>
    </row>
    <row r="1831" spans="1:4" ht="15.75" thickBot="1">
      <c r="A1831" s="60"/>
      <c r="B1831" s="53"/>
      <c r="C1831" s="54"/>
      <c r="D1831" s="52"/>
    </row>
    <row r="1832" spans="1:4" ht="15.75" thickBot="1">
      <c r="A1832" s="60"/>
      <c r="B1832" s="53"/>
      <c r="C1832" s="54"/>
      <c r="D1832" s="52"/>
    </row>
    <row r="1833" spans="1:4" ht="15.75" thickBot="1">
      <c r="A1833" s="60"/>
      <c r="B1833" s="53"/>
      <c r="C1833" s="54"/>
      <c r="D1833" s="52"/>
    </row>
    <row r="1834" spans="1:4" ht="15.75" thickBot="1">
      <c r="A1834" s="60"/>
      <c r="B1834" s="53"/>
      <c r="C1834" s="54"/>
      <c r="D1834" s="52"/>
    </row>
    <row r="1835" spans="1:4" ht="15.75" thickBot="1">
      <c r="A1835" s="60"/>
      <c r="B1835" s="53"/>
      <c r="C1835" s="54"/>
      <c r="D1835" s="52"/>
    </row>
    <row r="1836" spans="1:4" ht="15.75" thickBot="1">
      <c r="A1836" s="60"/>
      <c r="B1836" s="53"/>
      <c r="C1836" s="54"/>
      <c r="D1836" s="52"/>
    </row>
    <row r="1837" spans="1:4" ht="15.75" thickBot="1">
      <c r="A1837" s="60"/>
      <c r="B1837" s="53"/>
      <c r="C1837" s="54"/>
      <c r="D1837" s="52"/>
    </row>
    <row r="1838" spans="1:4" ht="15.75" thickBot="1">
      <c r="A1838" s="60"/>
      <c r="B1838" s="53"/>
      <c r="C1838" s="54"/>
      <c r="D1838" s="52"/>
    </row>
    <row r="1839" spans="1:4" ht="15.75" thickBot="1">
      <c r="A1839" s="60"/>
      <c r="B1839" s="53"/>
      <c r="C1839" s="54"/>
      <c r="D1839" s="52"/>
    </row>
    <row r="1840" spans="1:4" ht="15.75" thickBot="1">
      <c r="A1840" s="60"/>
      <c r="B1840" s="53"/>
      <c r="C1840" s="54"/>
      <c r="D1840" s="52"/>
    </row>
    <row r="1841" spans="1:4" ht="15.75" thickBot="1">
      <c r="A1841" s="60"/>
      <c r="B1841" s="53"/>
      <c r="C1841" s="54"/>
      <c r="D1841" s="52"/>
    </row>
    <row r="1842" spans="1:4" ht="15.75" thickBot="1">
      <c r="A1842" s="60"/>
      <c r="B1842" s="53"/>
      <c r="C1842" s="54"/>
      <c r="D1842" s="52"/>
    </row>
    <row r="1843" spans="1:4" ht="15.75" thickBot="1">
      <c r="A1843" s="60"/>
      <c r="B1843" s="53"/>
      <c r="C1843" s="54"/>
      <c r="D1843" s="52"/>
    </row>
    <row r="1868" spans="1:5" s="8" customFormat="1">
      <c r="A1868" s="59"/>
      <c r="B1868" s="31"/>
      <c r="C1868" s="40"/>
      <c r="D1868" s="51"/>
      <c r="E1868" s="7"/>
    </row>
  </sheetData>
  <mergeCells count="4">
    <mergeCell ref="F1:H1"/>
    <mergeCell ref="F2:H2"/>
    <mergeCell ref="B3:C3"/>
    <mergeCell ref="G3:H3"/>
  </mergeCells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B784-0D2F-49FE-8A4F-B56BB5EA759B}">
  <sheetPr>
    <tabColor indexed="17"/>
  </sheetPr>
  <dimension ref="A1:H1856"/>
  <sheetViews>
    <sheetView zoomScale="110" zoomScaleNormal="110" workbookViewId="0">
      <pane ySplit="3" topLeftCell="A289" activePane="bottomLeft" state="frozen"/>
      <selection pane="bottomLeft" activeCell="D129" sqref="D129"/>
    </sheetView>
  </sheetViews>
  <sheetFormatPr defaultRowHeight="12.75"/>
  <cols>
    <col min="1" max="1" width="16.85546875" style="20" customWidth="1"/>
    <col min="2" max="2" width="16.85546875" style="24" customWidth="1"/>
    <col min="3" max="3" width="16.85546875" style="33" customWidth="1"/>
    <col min="4" max="4" width="107.7109375" style="43" customWidth="1"/>
    <col min="5" max="5" width="12.42578125" style="3" customWidth="1"/>
    <col min="6" max="6" width="13.85546875" customWidth="1"/>
  </cols>
  <sheetData>
    <row r="1" spans="1:8" s="2" customFormat="1" ht="24" customHeight="1">
      <c r="A1" s="17" t="s">
        <v>0</v>
      </c>
      <c r="B1" s="1" t="s">
        <v>1</v>
      </c>
      <c r="C1" s="22" t="s">
        <v>2</v>
      </c>
      <c r="D1" s="41" t="s">
        <v>3</v>
      </c>
      <c r="E1" s="61">
        <v>365</v>
      </c>
      <c r="F1" s="105" t="s">
        <v>272</v>
      </c>
      <c r="G1" s="105"/>
      <c r="H1" s="105"/>
    </row>
    <row r="2" spans="1:8" s="2" customFormat="1" ht="24" customHeight="1">
      <c r="A2" s="19"/>
      <c r="B2" s="23">
        <f>SUM(B4:B2131)</f>
        <v>3509497</v>
      </c>
      <c r="C2" s="32">
        <f>SUM(C4:C2131)</f>
        <v>1735936.4</v>
      </c>
      <c r="D2" s="42"/>
      <c r="E2" s="62">
        <f>B3/E1</f>
        <v>4859.0701369863018</v>
      </c>
      <c r="F2" s="106" t="s">
        <v>274</v>
      </c>
      <c r="G2" s="106"/>
      <c r="H2" s="106"/>
    </row>
    <row r="3" spans="1:8" s="2" customFormat="1" ht="24" customHeight="1">
      <c r="A3" s="19" t="s">
        <v>4</v>
      </c>
      <c r="B3" s="107">
        <f>B2-C2</f>
        <v>1773560.6</v>
      </c>
      <c r="C3" s="107"/>
      <c r="D3" s="42"/>
      <c r="E3" s="62">
        <f>E2/8</f>
        <v>607.38376712328773</v>
      </c>
      <c r="F3" s="62">
        <f>E3*160</f>
        <v>97181.402739726036</v>
      </c>
      <c r="G3" s="105" t="s">
        <v>273</v>
      </c>
      <c r="H3" s="105"/>
    </row>
    <row r="4" spans="1:8">
      <c r="A4" s="20">
        <v>43836</v>
      </c>
      <c r="B4" s="26"/>
      <c r="C4" s="33">
        <v>3900</v>
      </c>
      <c r="D4" s="18" t="s">
        <v>581</v>
      </c>
    </row>
    <row r="5" spans="1:8">
      <c r="B5" s="26"/>
      <c r="C5" s="33">
        <v>3700</v>
      </c>
      <c r="D5" s="18" t="s">
        <v>582</v>
      </c>
    </row>
    <row r="6" spans="1:8">
      <c r="A6" s="20">
        <v>43844</v>
      </c>
      <c r="B6" s="26">
        <v>35000</v>
      </c>
      <c r="D6" s="18" t="s">
        <v>583</v>
      </c>
    </row>
    <row r="7" spans="1:8">
      <c r="B7" s="26">
        <v>15000</v>
      </c>
      <c r="D7" s="18" t="s">
        <v>584</v>
      </c>
    </row>
    <row r="8" spans="1:8">
      <c r="A8" s="20">
        <v>43845</v>
      </c>
      <c r="B8" s="26"/>
      <c r="C8" s="33">
        <v>15000</v>
      </c>
      <c r="D8" s="18" t="s">
        <v>585</v>
      </c>
    </row>
    <row r="9" spans="1:8">
      <c r="A9" s="20">
        <v>43845</v>
      </c>
      <c r="B9" s="26">
        <v>7000</v>
      </c>
      <c r="D9" s="18" t="s">
        <v>586</v>
      </c>
    </row>
    <row r="10" spans="1:8">
      <c r="B10" s="26"/>
      <c r="C10" s="33">
        <v>7000</v>
      </c>
      <c r="D10" s="18" t="s">
        <v>587</v>
      </c>
    </row>
    <row r="11" spans="1:8">
      <c r="A11" s="20">
        <v>43483</v>
      </c>
      <c r="B11" s="26">
        <v>27000</v>
      </c>
      <c r="D11" s="18" t="s">
        <v>588</v>
      </c>
    </row>
    <row r="12" spans="1:8">
      <c r="B12" s="26"/>
      <c r="C12" s="33">
        <v>3500</v>
      </c>
      <c r="D12" s="18" t="s">
        <v>589</v>
      </c>
    </row>
    <row r="13" spans="1:8">
      <c r="A13" s="20">
        <v>43850</v>
      </c>
      <c r="B13" s="26">
        <v>1500</v>
      </c>
      <c r="D13" s="18" t="s">
        <v>590</v>
      </c>
    </row>
    <row r="14" spans="1:8">
      <c r="C14" s="33">
        <v>4000</v>
      </c>
      <c r="D14" s="43" t="s">
        <v>591</v>
      </c>
    </row>
    <row r="15" spans="1:8">
      <c r="A15" s="20">
        <v>43851</v>
      </c>
      <c r="C15" s="33">
        <v>3000</v>
      </c>
      <c r="D15" s="43" t="s">
        <v>592</v>
      </c>
    </row>
    <row r="16" spans="1:8">
      <c r="C16" s="33">
        <v>8500</v>
      </c>
      <c r="D16" s="43" t="s">
        <v>593</v>
      </c>
    </row>
    <row r="17" spans="1:4">
      <c r="C17" s="33">
        <v>2500</v>
      </c>
      <c r="D17" s="43" t="s">
        <v>594</v>
      </c>
    </row>
    <row r="18" spans="1:4">
      <c r="A18" s="20">
        <v>43487</v>
      </c>
      <c r="C18" s="33">
        <v>10544</v>
      </c>
      <c r="D18" s="43" t="s">
        <v>595</v>
      </c>
    </row>
    <row r="19" spans="1:4">
      <c r="B19" s="24">
        <v>3000</v>
      </c>
      <c r="D19" s="43" t="s">
        <v>596</v>
      </c>
    </row>
    <row r="20" spans="1:4">
      <c r="A20" s="20">
        <v>43854</v>
      </c>
      <c r="C20" s="33">
        <v>10000</v>
      </c>
      <c r="D20" s="43" t="s">
        <v>597</v>
      </c>
    </row>
    <row r="21" spans="1:4">
      <c r="A21" s="20">
        <v>43856</v>
      </c>
      <c r="B21" s="24">
        <v>20000</v>
      </c>
      <c r="D21" s="43" t="s">
        <v>598</v>
      </c>
    </row>
    <row r="22" spans="1:4">
      <c r="C22" s="33">
        <v>4000</v>
      </c>
      <c r="D22" s="43" t="s">
        <v>589</v>
      </c>
    </row>
    <row r="23" spans="1:4">
      <c r="A23" s="20">
        <v>43857</v>
      </c>
      <c r="B23" s="24">
        <v>10000</v>
      </c>
      <c r="D23" s="43" t="s">
        <v>599</v>
      </c>
    </row>
    <row r="24" spans="1:4">
      <c r="C24" s="33">
        <v>10400</v>
      </c>
      <c r="D24" s="43" t="s">
        <v>600</v>
      </c>
    </row>
    <row r="25" spans="1:4">
      <c r="B25" s="24">
        <v>15000</v>
      </c>
      <c r="D25" s="43" t="s">
        <v>601</v>
      </c>
    </row>
    <row r="26" spans="1:4">
      <c r="A26" s="20">
        <v>43861</v>
      </c>
      <c r="C26" s="33">
        <v>20000</v>
      </c>
      <c r="D26" s="43" t="s">
        <v>602</v>
      </c>
    </row>
    <row r="27" spans="1:4">
      <c r="B27" s="24">
        <v>3000</v>
      </c>
      <c r="D27" s="43" t="s">
        <v>603</v>
      </c>
    </row>
    <row r="28" spans="1:4">
      <c r="B28" s="24">
        <v>41000</v>
      </c>
      <c r="D28" s="43" t="s">
        <v>605</v>
      </c>
    </row>
    <row r="29" spans="1:4">
      <c r="A29" s="20">
        <v>43864</v>
      </c>
      <c r="C29" s="33">
        <v>3084</v>
      </c>
      <c r="D29" s="43" t="s">
        <v>322</v>
      </c>
    </row>
    <row r="30" spans="1:4">
      <c r="C30" s="33">
        <v>850</v>
      </c>
      <c r="D30" s="43" t="s">
        <v>604</v>
      </c>
    </row>
    <row r="31" spans="1:4">
      <c r="C31" s="33">
        <v>20000</v>
      </c>
      <c r="D31" s="43" t="s">
        <v>606</v>
      </c>
    </row>
    <row r="32" spans="1:4">
      <c r="C32" s="33">
        <v>500</v>
      </c>
      <c r="D32" s="43" t="s">
        <v>607</v>
      </c>
    </row>
    <row r="33" spans="1:5">
      <c r="A33" s="20">
        <v>43870</v>
      </c>
      <c r="C33" s="33">
        <v>2500</v>
      </c>
      <c r="D33" s="43" t="s">
        <v>608</v>
      </c>
    </row>
    <row r="34" spans="1:5">
      <c r="A34" s="20">
        <v>43871</v>
      </c>
      <c r="B34" s="24">
        <v>26500</v>
      </c>
      <c r="D34" s="43" t="s">
        <v>609</v>
      </c>
    </row>
    <row r="35" spans="1:5">
      <c r="C35" s="33">
        <v>16000</v>
      </c>
      <c r="D35" s="43" t="s">
        <v>610</v>
      </c>
    </row>
    <row r="36" spans="1:5">
      <c r="B36" s="24">
        <v>1200</v>
      </c>
      <c r="D36" s="43" t="s">
        <v>611</v>
      </c>
    </row>
    <row r="37" spans="1:5">
      <c r="C37" s="33">
        <v>10450</v>
      </c>
      <c r="D37" s="43" t="s">
        <v>620</v>
      </c>
    </row>
    <row r="38" spans="1:5">
      <c r="A38" s="20">
        <v>43872</v>
      </c>
      <c r="C38" s="33">
        <v>20800</v>
      </c>
      <c r="D38" s="43" t="s">
        <v>612</v>
      </c>
    </row>
    <row r="39" spans="1:5">
      <c r="A39" s="20">
        <v>43876</v>
      </c>
      <c r="B39" s="24">
        <v>39900</v>
      </c>
      <c r="D39" s="43" t="s">
        <v>613</v>
      </c>
    </row>
    <row r="40" spans="1:5">
      <c r="B40" s="24">
        <v>4600</v>
      </c>
      <c r="D40" s="43" t="s">
        <v>619</v>
      </c>
    </row>
    <row r="41" spans="1:5">
      <c r="C41" s="33">
        <v>4600</v>
      </c>
      <c r="D41" s="43" t="s">
        <v>614</v>
      </c>
    </row>
    <row r="42" spans="1:5">
      <c r="C42" s="33">
        <v>159</v>
      </c>
      <c r="D42" s="43" t="s">
        <v>615</v>
      </c>
    </row>
    <row r="43" spans="1:5">
      <c r="C43" s="33">
        <v>12000</v>
      </c>
      <c r="D43" s="43" t="s">
        <v>616</v>
      </c>
    </row>
    <row r="44" spans="1:5">
      <c r="C44" s="33">
        <v>3500</v>
      </c>
      <c r="D44" s="43" t="s">
        <v>617</v>
      </c>
    </row>
    <row r="45" spans="1:5">
      <c r="C45" s="33">
        <v>1750</v>
      </c>
      <c r="D45" s="43" t="s">
        <v>618</v>
      </c>
    </row>
    <row r="46" spans="1:5">
      <c r="A46" s="20">
        <v>43878</v>
      </c>
      <c r="B46" s="24">
        <v>1200</v>
      </c>
      <c r="D46" s="43" t="s">
        <v>621</v>
      </c>
    </row>
    <row r="47" spans="1:5" s="78" customFormat="1">
      <c r="A47" s="73">
        <v>43879</v>
      </c>
      <c r="B47" s="74"/>
      <c r="C47" s="75">
        <v>37274.400000000001</v>
      </c>
      <c r="D47" s="76" t="s">
        <v>622</v>
      </c>
      <c r="E47" s="77"/>
    </row>
    <row r="48" spans="1:5" s="78" customFormat="1">
      <c r="A48" s="73"/>
      <c r="B48" s="74"/>
      <c r="C48" s="75">
        <v>19</v>
      </c>
      <c r="D48" s="76" t="s">
        <v>623</v>
      </c>
      <c r="E48" s="77"/>
    </row>
    <row r="49" spans="1:5" s="78" customFormat="1">
      <c r="A49" s="73">
        <v>43881</v>
      </c>
      <c r="B49" s="74"/>
      <c r="C49" s="75">
        <v>450</v>
      </c>
      <c r="D49" s="76" t="s">
        <v>624</v>
      </c>
      <c r="E49" s="77"/>
    </row>
    <row r="50" spans="1:5">
      <c r="C50" s="33">
        <v>500</v>
      </c>
      <c r="D50" s="43" t="s">
        <v>625</v>
      </c>
    </row>
    <row r="51" spans="1:5" s="78" customFormat="1">
      <c r="A51" s="73"/>
      <c r="B51" s="74"/>
      <c r="C51" s="75">
        <v>1000</v>
      </c>
      <c r="D51" s="76" t="s">
        <v>607</v>
      </c>
      <c r="E51" s="77"/>
    </row>
    <row r="52" spans="1:5" s="78" customFormat="1">
      <c r="A52" s="73">
        <v>43882</v>
      </c>
      <c r="B52" s="74"/>
      <c r="C52" s="75">
        <v>2500</v>
      </c>
      <c r="D52" s="76" t="s">
        <v>626</v>
      </c>
      <c r="E52" s="77"/>
    </row>
    <row r="53" spans="1:5">
      <c r="A53" s="20">
        <v>43886</v>
      </c>
      <c r="C53" s="33">
        <v>2500</v>
      </c>
      <c r="D53" s="43" t="s">
        <v>627</v>
      </c>
    </row>
    <row r="54" spans="1:5">
      <c r="A54" s="20">
        <v>43889</v>
      </c>
      <c r="B54" s="24">
        <v>50000</v>
      </c>
      <c r="D54" s="43" t="s">
        <v>631</v>
      </c>
    </row>
    <row r="55" spans="1:5">
      <c r="A55" s="20">
        <v>43891</v>
      </c>
      <c r="C55" s="33">
        <v>2500</v>
      </c>
      <c r="D55" s="43" t="s">
        <v>628</v>
      </c>
    </row>
    <row r="56" spans="1:5">
      <c r="C56" s="33">
        <v>700</v>
      </c>
      <c r="D56" s="43" t="s">
        <v>629</v>
      </c>
    </row>
    <row r="57" spans="1:5">
      <c r="C57" s="33">
        <v>3000</v>
      </c>
      <c r="D57" s="43" t="s">
        <v>630</v>
      </c>
    </row>
    <row r="58" spans="1:5">
      <c r="C58" s="33">
        <v>440</v>
      </c>
      <c r="D58" s="43" t="s">
        <v>632</v>
      </c>
    </row>
    <row r="59" spans="1:5" s="78" customFormat="1">
      <c r="A59" s="73">
        <v>43892</v>
      </c>
      <c r="B59" s="74"/>
      <c r="C59" s="75">
        <v>5250</v>
      </c>
      <c r="D59" s="76" t="s">
        <v>633</v>
      </c>
      <c r="E59" s="77"/>
    </row>
    <row r="60" spans="1:5" s="78" customFormat="1">
      <c r="A60" s="73"/>
      <c r="B60" s="74">
        <v>5000</v>
      </c>
      <c r="C60" s="75"/>
      <c r="D60" s="76" t="s">
        <v>641</v>
      </c>
      <c r="E60" s="77"/>
    </row>
    <row r="61" spans="1:5" s="78" customFormat="1">
      <c r="A61" s="73"/>
      <c r="B61" s="74"/>
      <c r="C61" s="75">
        <v>300</v>
      </c>
      <c r="D61" s="76" t="s">
        <v>634</v>
      </c>
      <c r="E61" s="77"/>
    </row>
    <row r="62" spans="1:5" s="78" customFormat="1">
      <c r="A62" s="73"/>
      <c r="B62" s="74"/>
      <c r="C62" s="75">
        <v>424</v>
      </c>
      <c r="D62" s="76" t="s">
        <v>635</v>
      </c>
      <c r="E62" s="77"/>
    </row>
    <row r="63" spans="1:5">
      <c r="A63" s="73">
        <v>43894</v>
      </c>
      <c r="B63" s="74"/>
      <c r="C63" s="75">
        <v>500</v>
      </c>
      <c r="D63" s="76" t="s">
        <v>636</v>
      </c>
    </row>
    <row r="64" spans="1:5">
      <c r="A64" s="73"/>
      <c r="B64" s="74"/>
      <c r="C64" s="75">
        <v>15000</v>
      </c>
      <c r="D64" s="76" t="s">
        <v>637</v>
      </c>
    </row>
    <row r="65" spans="1:4">
      <c r="A65" s="73">
        <v>43896</v>
      </c>
      <c r="B65" s="74"/>
      <c r="C65" s="75">
        <v>500</v>
      </c>
      <c r="D65" s="76" t="s">
        <v>638</v>
      </c>
    </row>
    <row r="66" spans="1:4">
      <c r="A66" s="20">
        <v>43899</v>
      </c>
      <c r="C66" s="33">
        <v>1500</v>
      </c>
      <c r="D66" s="43" t="s">
        <v>639</v>
      </c>
    </row>
    <row r="67" spans="1:4">
      <c r="B67" s="24">
        <v>50000</v>
      </c>
      <c r="D67" s="43" t="s">
        <v>640</v>
      </c>
    </row>
    <row r="68" spans="1:4">
      <c r="A68" s="20">
        <v>43906</v>
      </c>
      <c r="C68" s="33">
        <v>6000</v>
      </c>
      <c r="D68" s="43" t="s">
        <v>642</v>
      </c>
    </row>
    <row r="69" spans="1:4">
      <c r="B69" s="24">
        <v>50000</v>
      </c>
      <c r="D69" s="43" t="s">
        <v>643</v>
      </c>
    </row>
    <row r="70" spans="1:4">
      <c r="C70" s="33">
        <v>5900</v>
      </c>
      <c r="D70" s="43" t="s">
        <v>644</v>
      </c>
    </row>
    <row r="71" spans="1:4">
      <c r="C71" s="33">
        <v>5200</v>
      </c>
      <c r="D71" s="43" t="s">
        <v>645</v>
      </c>
    </row>
    <row r="72" spans="1:4">
      <c r="A72" s="20">
        <v>43913</v>
      </c>
      <c r="B72" s="24">
        <v>55000</v>
      </c>
      <c r="D72" s="43" t="s">
        <v>646</v>
      </c>
    </row>
    <row r="73" spans="1:4">
      <c r="A73" s="20">
        <v>43914</v>
      </c>
      <c r="C73" s="33">
        <v>20000</v>
      </c>
      <c r="D73" s="43" t="s">
        <v>647</v>
      </c>
    </row>
    <row r="74" spans="1:4">
      <c r="A74" s="20">
        <v>43915</v>
      </c>
      <c r="B74" s="24">
        <v>4000</v>
      </c>
      <c r="D74" s="43" t="s">
        <v>648</v>
      </c>
    </row>
    <row r="75" spans="1:4">
      <c r="C75" s="33">
        <v>30000</v>
      </c>
      <c r="D75" s="43" t="s">
        <v>649</v>
      </c>
    </row>
    <row r="76" spans="1:4">
      <c r="B76" s="24">
        <v>5000</v>
      </c>
      <c r="D76" s="43" t="s">
        <v>650</v>
      </c>
    </row>
    <row r="77" spans="1:4">
      <c r="C77" s="33">
        <v>8700</v>
      </c>
      <c r="D77" s="43" t="s">
        <v>651</v>
      </c>
    </row>
    <row r="78" spans="1:4">
      <c r="B78" s="24">
        <v>48501</v>
      </c>
      <c r="D78" s="43" t="s">
        <v>652</v>
      </c>
    </row>
    <row r="79" spans="1:4">
      <c r="A79" s="20">
        <v>43930</v>
      </c>
      <c r="C79" s="33">
        <v>8000</v>
      </c>
      <c r="D79" s="43" t="s">
        <v>653</v>
      </c>
    </row>
    <row r="80" spans="1:4">
      <c r="C80" s="33">
        <v>650</v>
      </c>
      <c r="D80" s="43" t="s">
        <v>654</v>
      </c>
    </row>
    <row r="81" spans="1:4">
      <c r="A81" s="20">
        <v>43934</v>
      </c>
      <c r="C81" s="33">
        <v>3000</v>
      </c>
      <c r="D81" s="43" t="s">
        <v>655</v>
      </c>
    </row>
    <row r="82" spans="1:4">
      <c r="B82" s="24">
        <v>10000</v>
      </c>
      <c r="D82" s="43" t="s">
        <v>656</v>
      </c>
    </row>
    <row r="83" spans="1:4">
      <c r="A83" s="20">
        <v>43935</v>
      </c>
      <c r="C83" s="33">
        <v>10250</v>
      </c>
      <c r="D83" s="43" t="s">
        <v>657</v>
      </c>
    </row>
    <row r="84" spans="1:4">
      <c r="A84" s="20">
        <v>43939</v>
      </c>
      <c r="C84" s="33">
        <v>13000</v>
      </c>
      <c r="D84" s="43" t="s">
        <v>658</v>
      </c>
    </row>
    <row r="85" spans="1:4">
      <c r="A85" s="20">
        <v>43940</v>
      </c>
      <c r="B85" s="24">
        <v>70000</v>
      </c>
      <c r="D85" s="43" t="s">
        <v>659</v>
      </c>
    </row>
    <row r="86" spans="1:4">
      <c r="A86" s="20">
        <v>43942</v>
      </c>
      <c r="B86" s="24">
        <v>62582</v>
      </c>
      <c r="D86" s="43" t="s">
        <v>660</v>
      </c>
    </row>
    <row r="87" spans="1:4">
      <c r="A87" s="20">
        <v>43946</v>
      </c>
      <c r="C87" s="33">
        <v>4500</v>
      </c>
      <c r="D87" s="43" t="s">
        <v>661</v>
      </c>
    </row>
    <row r="88" spans="1:4">
      <c r="A88" s="20">
        <v>43947</v>
      </c>
      <c r="C88" s="33">
        <v>3000</v>
      </c>
      <c r="D88" s="43" t="s">
        <v>361</v>
      </c>
    </row>
    <row r="89" spans="1:4">
      <c r="A89" s="20">
        <v>43951</v>
      </c>
      <c r="B89" s="24">
        <v>46800</v>
      </c>
      <c r="D89" s="43" t="s">
        <v>662</v>
      </c>
    </row>
    <row r="90" spans="1:4">
      <c r="C90" s="33">
        <v>7000</v>
      </c>
      <c r="D90" s="43" t="s">
        <v>663</v>
      </c>
    </row>
    <row r="91" spans="1:4">
      <c r="C91" s="33">
        <v>10000</v>
      </c>
      <c r="D91" s="43" t="s">
        <v>664</v>
      </c>
    </row>
    <row r="92" spans="1:4">
      <c r="C92" s="33">
        <v>3450</v>
      </c>
      <c r="D92" s="43" t="s">
        <v>665</v>
      </c>
    </row>
    <row r="93" spans="1:4">
      <c r="A93" s="20">
        <v>43922</v>
      </c>
      <c r="B93" s="24">
        <v>6000</v>
      </c>
      <c r="D93" s="43" t="s">
        <v>666</v>
      </c>
    </row>
    <row r="94" spans="1:4">
      <c r="A94" s="20">
        <v>43958</v>
      </c>
      <c r="B94" s="24">
        <v>47000</v>
      </c>
      <c r="D94" s="43" t="s">
        <v>667</v>
      </c>
    </row>
    <row r="95" spans="1:4">
      <c r="B95" s="24">
        <v>18600</v>
      </c>
      <c r="D95" s="43" t="s">
        <v>668</v>
      </c>
    </row>
    <row r="96" spans="1:4">
      <c r="B96" s="24">
        <v>1500</v>
      </c>
      <c r="D96" s="43" t="s">
        <v>669</v>
      </c>
    </row>
    <row r="97" spans="1:4">
      <c r="A97" s="20">
        <v>43959</v>
      </c>
      <c r="C97" s="33">
        <v>1500</v>
      </c>
      <c r="D97" s="43" t="s">
        <v>670</v>
      </c>
    </row>
    <row r="98" spans="1:4">
      <c r="C98" s="33">
        <v>5600</v>
      </c>
      <c r="D98" s="43" t="s">
        <v>671</v>
      </c>
    </row>
    <row r="99" spans="1:4">
      <c r="C99" s="33">
        <v>8390</v>
      </c>
      <c r="D99" s="43" t="s">
        <v>672</v>
      </c>
    </row>
    <row r="100" spans="1:4">
      <c r="C100" s="33">
        <v>14000</v>
      </c>
      <c r="D100" s="43" t="s">
        <v>673</v>
      </c>
    </row>
    <row r="101" spans="1:4">
      <c r="C101" s="33">
        <v>11000</v>
      </c>
      <c r="D101" s="43" t="s">
        <v>674</v>
      </c>
    </row>
    <row r="102" spans="1:4">
      <c r="A102" s="20">
        <v>43962</v>
      </c>
      <c r="C102" s="33">
        <v>8000</v>
      </c>
      <c r="D102" s="43" t="s">
        <v>675</v>
      </c>
    </row>
    <row r="103" spans="1:4">
      <c r="A103" s="20">
        <v>43963</v>
      </c>
      <c r="B103" s="24">
        <v>21600</v>
      </c>
      <c r="D103" s="43" t="s">
        <v>676</v>
      </c>
    </row>
    <row r="104" spans="1:4">
      <c r="B104" s="24">
        <v>21600</v>
      </c>
      <c r="D104" s="43" t="s">
        <v>677</v>
      </c>
    </row>
    <row r="105" spans="1:4">
      <c r="C105" s="33">
        <v>6100</v>
      </c>
      <c r="D105" s="43" t="s">
        <v>678</v>
      </c>
    </row>
    <row r="106" spans="1:4">
      <c r="B106" s="24">
        <v>6000</v>
      </c>
    </row>
    <row r="107" spans="1:4">
      <c r="A107" s="20">
        <v>43969</v>
      </c>
      <c r="C107" s="33">
        <v>3000</v>
      </c>
      <c r="D107" s="43" t="s">
        <v>679</v>
      </c>
    </row>
    <row r="108" spans="1:4">
      <c r="A108" s="20">
        <v>43970</v>
      </c>
      <c r="C108" s="33">
        <v>3900</v>
      </c>
      <c r="D108" s="43" t="s">
        <v>680</v>
      </c>
    </row>
    <row r="109" spans="1:4">
      <c r="A109" s="20">
        <v>43971</v>
      </c>
      <c r="C109" s="33">
        <v>3000</v>
      </c>
      <c r="D109" s="43" t="s">
        <v>681</v>
      </c>
    </row>
    <row r="110" spans="1:4">
      <c r="A110" s="20">
        <v>43972</v>
      </c>
      <c r="C110" s="33">
        <v>10500</v>
      </c>
      <c r="D110" s="43" t="s">
        <v>682</v>
      </c>
    </row>
    <row r="111" spans="1:4">
      <c r="A111" s="20">
        <v>43973</v>
      </c>
      <c r="C111" s="33">
        <v>5000</v>
      </c>
      <c r="D111" s="43" t="s">
        <v>683</v>
      </c>
    </row>
    <row r="112" spans="1:4">
      <c r="C112" s="33">
        <v>300</v>
      </c>
      <c r="D112" s="43" t="s">
        <v>684</v>
      </c>
    </row>
    <row r="113" spans="1:5">
      <c r="A113" s="20">
        <v>43975</v>
      </c>
      <c r="C113" s="33">
        <v>3000</v>
      </c>
      <c r="D113" s="43" t="s">
        <v>685</v>
      </c>
    </row>
    <row r="114" spans="1:5">
      <c r="C114" s="33">
        <v>2500</v>
      </c>
      <c r="D114" s="43" t="s">
        <v>686</v>
      </c>
    </row>
    <row r="115" spans="1:5">
      <c r="B115" s="24">
        <v>13500</v>
      </c>
      <c r="D115" s="43" t="s">
        <v>687</v>
      </c>
    </row>
    <row r="116" spans="1:5">
      <c r="A116" s="20">
        <v>43977</v>
      </c>
      <c r="B116" s="24">
        <v>13356</v>
      </c>
      <c r="D116" s="43" t="s">
        <v>688</v>
      </c>
    </row>
    <row r="117" spans="1:5">
      <c r="A117" s="20">
        <v>43978</v>
      </c>
      <c r="C117" s="33">
        <v>5000</v>
      </c>
      <c r="D117" s="43" t="s">
        <v>673</v>
      </c>
    </row>
    <row r="118" spans="1:5">
      <c r="C118" s="33">
        <v>3000</v>
      </c>
      <c r="D118" s="43" t="s">
        <v>689</v>
      </c>
    </row>
    <row r="119" spans="1:5">
      <c r="A119" s="20">
        <v>43979</v>
      </c>
      <c r="C119" s="33">
        <v>7000</v>
      </c>
      <c r="D119" s="43" t="s">
        <v>690</v>
      </c>
    </row>
    <row r="120" spans="1:5">
      <c r="C120" s="33">
        <v>2500</v>
      </c>
      <c r="D120" s="43" t="s">
        <v>691</v>
      </c>
    </row>
    <row r="121" spans="1:5">
      <c r="A121" s="20">
        <v>43981</v>
      </c>
      <c r="C121" s="33">
        <v>970</v>
      </c>
      <c r="D121" s="43" t="s">
        <v>692</v>
      </c>
    </row>
    <row r="122" spans="1:5" s="68" customFormat="1">
      <c r="A122" s="63">
        <v>43982</v>
      </c>
      <c r="B122" s="64"/>
      <c r="C122" s="65">
        <v>3000</v>
      </c>
      <c r="D122" s="66" t="s">
        <v>693</v>
      </c>
      <c r="E122" s="67"/>
    </row>
    <row r="123" spans="1:5" s="68" customFormat="1">
      <c r="A123" s="63">
        <v>43983</v>
      </c>
      <c r="B123" s="64"/>
      <c r="C123" s="65">
        <v>1045</v>
      </c>
      <c r="D123" s="66" t="s">
        <v>694</v>
      </c>
      <c r="E123" s="67"/>
    </row>
    <row r="124" spans="1:5">
      <c r="C124" s="33">
        <v>1500</v>
      </c>
      <c r="D124" s="43" t="s">
        <v>695</v>
      </c>
    </row>
    <row r="125" spans="1:5">
      <c r="C125" s="33">
        <v>4100</v>
      </c>
      <c r="D125" s="43" t="s">
        <v>696</v>
      </c>
    </row>
    <row r="126" spans="1:5">
      <c r="C126" s="33">
        <v>3000</v>
      </c>
      <c r="D126" s="43" t="s">
        <v>697</v>
      </c>
    </row>
    <row r="127" spans="1:5">
      <c r="C127" s="33">
        <v>1000</v>
      </c>
      <c r="D127" s="43" t="s">
        <v>698</v>
      </c>
    </row>
    <row r="128" spans="1:5">
      <c r="A128" s="20">
        <v>43986</v>
      </c>
      <c r="C128" s="33">
        <v>1000</v>
      </c>
      <c r="D128" s="43" t="s">
        <v>699</v>
      </c>
    </row>
    <row r="129" spans="1:4">
      <c r="B129" s="24">
        <v>20000</v>
      </c>
      <c r="D129" s="43" t="s">
        <v>1434</v>
      </c>
    </row>
    <row r="130" spans="1:4">
      <c r="A130" s="20">
        <v>43987</v>
      </c>
      <c r="C130" s="33">
        <v>4500</v>
      </c>
      <c r="D130" s="43" t="s">
        <v>700</v>
      </c>
    </row>
    <row r="131" spans="1:4">
      <c r="C131" s="33">
        <v>1500</v>
      </c>
      <c r="D131" s="43" t="s">
        <v>701</v>
      </c>
    </row>
    <row r="132" spans="1:4">
      <c r="A132" s="20">
        <v>43996</v>
      </c>
      <c r="B132" s="24">
        <v>7000</v>
      </c>
      <c r="D132" s="43" t="s">
        <v>702</v>
      </c>
    </row>
    <row r="133" spans="1:4">
      <c r="C133" s="33">
        <v>2000</v>
      </c>
      <c r="D133" s="43" t="s">
        <v>703</v>
      </c>
    </row>
    <row r="134" spans="1:4">
      <c r="B134" s="24">
        <v>5000</v>
      </c>
      <c r="D134" s="43" t="s">
        <v>704</v>
      </c>
    </row>
    <row r="135" spans="1:4">
      <c r="A135" s="20">
        <v>44000</v>
      </c>
      <c r="C135" s="33">
        <v>15000</v>
      </c>
      <c r="D135" s="43" t="s">
        <v>705</v>
      </c>
    </row>
    <row r="136" spans="1:4">
      <c r="A136" s="20">
        <v>44011</v>
      </c>
      <c r="C136" s="33">
        <v>7100</v>
      </c>
      <c r="D136" s="43" t="s">
        <v>706</v>
      </c>
    </row>
    <row r="137" spans="1:4">
      <c r="B137" s="24">
        <v>61259</v>
      </c>
      <c r="D137" s="43" t="s">
        <v>707</v>
      </c>
    </row>
    <row r="138" spans="1:4">
      <c r="A138" s="20">
        <v>44012</v>
      </c>
      <c r="B138" s="24">
        <v>10000</v>
      </c>
      <c r="D138" s="43" t="s">
        <v>708</v>
      </c>
    </row>
    <row r="139" spans="1:4">
      <c r="A139" s="20">
        <v>43984</v>
      </c>
      <c r="C139" s="33">
        <v>1200</v>
      </c>
      <c r="D139" s="43" t="s">
        <v>709</v>
      </c>
    </row>
    <row r="140" spans="1:4">
      <c r="B140" s="24">
        <v>12000</v>
      </c>
      <c r="D140" s="43" t="s">
        <v>710</v>
      </c>
    </row>
    <row r="141" spans="1:4">
      <c r="C141" s="33">
        <v>14000</v>
      </c>
      <c r="D141" s="43" t="s">
        <v>711</v>
      </c>
    </row>
    <row r="142" spans="1:4">
      <c r="C142" s="33">
        <v>6000</v>
      </c>
      <c r="D142" s="43" t="s">
        <v>712</v>
      </c>
    </row>
    <row r="143" spans="1:4">
      <c r="A143" s="20">
        <v>44019</v>
      </c>
      <c r="B143" s="24">
        <v>45000</v>
      </c>
      <c r="D143" s="43" t="s">
        <v>713</v>
      </c>
    </row>
    <row r="144" spans="1:4">
      <c r="C144" s="33">
        <v>8300</v>
      </c>
      <c r="D144" s="43" t="s">
        <v>714</v>
      </c>
    </row>
    <row r="145" spans="1:4">
      <c r="C145" s="33">
        <v>1100</v>
      </c>
      <c r="D145" s="43" t="s">
        <v>715</v>
      </c>
    </row>
    <row r="146" spans="1:4">
      <c r="C146" s="33">
        <v>5000</v>
      </c>
      <c r="D146" s="43" t="s">
        <v>716</v>
      </c>
    </row>
    <row r="147" spans="1:4">
      <c r="C147" s="33">
        <v>17050</v>
      </c>
      <c r="D147" s="43" t="s">
        <v>717</v>
      </c>
    </row>
    <row r="148" spans="1:4">
      <c r="C148" s="33">
        <v>5000</v>
      </c>
      <c r="D148" s="43" t="s">
        <v>718</v>
      </c>
    </row>
    <row r="149" spans="1:4">
      <c r="A149" s="20">
        <v>44021</v>
      </c>
      <c r="B149" s="24">
        <v>13000</v>
      </c>
      <c r="D149" s="43" t="s">
        <v>719</v>
      </c>
    </row>
    <row r="150" spans="1:4">
      <c r="B150" s="24">
        <v>81000</v>
      </c>
      <c r="D150" s="43" t="s">
        <v>720</v>
      </c>
    </row>
    <row r="151" spans="1:4">
      <c r="A151" s="20">
        <v>44022</v>
      </c>
      <c r="C151" s="33">
        <v>3800</v>
      </c>
      <c r="D151" s="43" t="s">
        <v>721</v>
      </c>
    </row>
    <row r="152" spans="1:4">
      <c r="A152" s="20">
        <v>44024</v>
      </c>
      <c r="C152" s="33">
        <v>10000</v>
      </c>
      <c r="D152" s="43" t="s">
        <v>722</v>
      </c>
    </row>
    <row r="153" spans="1:4">
      <c r="A153" s="20">
        <v>44027</v>
      </c>
      <c r="C153" s="33">
        <v>7000</v>
      </c>
      <c r="D153" s="43" t="s">
        <v>723</v>
      </c>
    </row>
    <row r="154" spans="1:4">
      <c r="B154" s="24">
        <v>7500</v>
      </c>
      <c r="D154" s="43" t="s">
        <v>724</v>
      </c>
    </row>
    <row r="155" spans="1:4">
      <c r="B155" s="24">
        <v>372052</v>
      </c>
      <c r="D155" s="43" t="s">
        <v>725</v>
      </c>
    </row>
    <row r="156" spans="1:4">
      <c r="C156" s="33">
        <v>178110</v>
      </c>
      <c r="D156" s="43" t="s">
        <v>726</v>
      </c>
    </row>
    <row r="157" spans="1:4">
      <c r="C157" s="33">
        <v>14580</v>
      </c>
      <c r="D157" s="43" t="s">
        <v>727</v>
      </c>
    </row>
    <row r="158" spans="1:4">
      <c r="A158" s="20">
        <v>44030</v>
      </c>
      <c r="C158" s="33">
        <v>4500</v>
      </c>
      <c r="D158" s="43" t="s">
        <v>728</v>
      </c>
    </row>
    <row r="159" spans="1:4">
      <c r="C159" s="33">
        <v>500</v>
      </c>
      <c r="D159" s="43" t="s">
        <v>729</v>
      </c>
    </row>
    <row r="160" spans="1:4">
      <c r="C160" s="33">
        <v>4000</v>
      </c>
      <c r="D160" s="43" t="s">
        <v>730</v>
      </c>
    </row>
    <row r="161" spans="1:4">
      <c r="A161" s="20">
        <v>44033</v>
      </c>
      <c r="C161" s="33">
        <v>5000</v>
      </c>
      <c r="D161" s="43" t="s">
        <v>731</v>
      </c>
    </row>
    <row r="162" spans="1:4">
      <c r="A162" s="20">
        <v>44034</v>
      </c>
      <c r="B162" s="24">
        <v>108810</v>
      </c>
      <c r="D162" s="43" t="s">
        <v>732</v>
      </c>
    </row>
    <row r="163" spans="1:4">
      <c r="C163" s="33">
        <v>26000</v>
      </c>
      <c r="D163" s="43" t="s">
        <v>733</v>
      </c>
    </row>
    <row r="164" spans="1:4">
      <c r="A164" s="20">
        <v>44035</v>
      </c>
      <c r="C164" s="33">
        <v>3000</v>
      </c>
      <c r="D164" s="43" t="s">
        <v>734</v>
      </c>
    </row>
    <row r="165" spans="1:4">
      <c r="A165" s="20">
        <v>44038</v>
      </c>
      <c r="C165" s="33">
        <v>1500</v>
      </c>
      <c r="D165" s="43" t="s">
        <v>735</v>
      </c>
    </row>
    <row r="166" spans="1:4">
      <c r="C166" s="33">
        <v>3000</v>
      </c>
      <c r="D166" s="43" t="s">
        <v>736</v>
      </c>
    </row>
    <row r="167" spans="1:4">
      <c r="C167" s="33">
        <v>1700</v>
      </c>
      <c r="D167" s="43" t="s">
        <v>737</v>
      </c>
    </row>
    <row r="168" spans="1:4">
      <c r="A168" s="20">
        <v>44041</v>
      </c>
      <c r="B168" s="24">
        <v>536670</v>
      </c>
      <c r="D168" s="43" t="s">
        <v>738</v>
      </c>
    </row>
    <row r="169" spans="1:4">
      <c r="C169" s="33">
        <v>268500</v>
      </c>
      <c r="D169" s="43" t="s">
        <v>739</v>
      </c>
    </row>
    <row r="170" spans="1:4">
      <c r="C170" s="33">
        <v>5000</v>
      </c>
      <c r="D170" s="43" t="s">
        <v>740</v>
      </c>
    </row>
    <row r="171" spans="1:4">
      <c r="A171" s="20">
        <v>44042</v>
      </c>
      <c r="B171" s="24">
        <v>5000</v>
      </c>
      <c r="D171" s="43" t="s">
        <v>741</v>
      </c>
    </row>
    <row r="172" spans="1:4">
      <c r="C172" s="33">
        <v>8000</v>
      </c>
      <c r="D172" s="43" t="s">
        <v>742</v>
      </c>
    </row>
    <row r="173" spans="1:4">
      <c r="A173" s="20">
        <v>44046</v>
      </c>
      <c r="C173" s="33">
        <v>2000</v>
      </c>
      <c r="D173" s="43" t="s">
        <v>743</v>
      </c>
    </row>
    <row r="174" spans="1:4">
      <c r="B174" s="24">
        <v>5000</v>
      </c>
      <c r="D174" s="43" t="s">
        <v>744</v>
      </c>
    </row>
    <row r="175" spans="1:4">
      <c r="C175" s="33">
        <v>10000</v>
      </c>
      <c r="D175" s="43" t="s">
        <v>745</v>
      </c>
    </row>
    <row r="176" spans="1:4">
      <c r="A176" s="20">
        <v>44047</v>
      </c>
      <c r="B176" s="24">
        <v>19000</v>
      </c>
      <c r="D176" s="43" t="s">
        <v>746</v>
      </c>
    </row>
    <row r="177" spans="1:4">
      <c r="A177" s="20">
        <v>44051</v>
      </c>
      <c r="B177" s="24">
        <v>140000</v>
      </c>
      <c r="D177" s="43" t="s">
        <v>747</v>
      </c>
    </row>
    <row r="178" spans="1:4">
      <c r="B178" s="24">
        <v>120000</v>
      </c>
      <c r="D178" s="43" t="s">
        <v>748</v>
      </c>
    </row>
    <row r="179" spans="1:4">
      <c r="B179" s="24">
        <v>4000</v>
      </c>
      <c r="D179" s="43" t="s">
        <v>749</v>
      </c>
    </row>
    <row r="180" spans="1:4">
      <c r="C180" s="33">
        <v>26400</v>
      </c>
      <c r="D180" s="43" t="s">
        <v>750</v>
      </c>
    </row>
    <row r="181" spans="1:4">
      <c r="C181" s="33">
        <v>47520</v>
      </c>
      <c r="D181" s="43" t="s">
        <v>751</v>
      </c>
    </row>
    <row r="182" spans="1:4">
      <c r="C182" s="33">
        <v>7500</v>
      </c>
      <c r="D182" s="43" t="s">
        <v>752</v>
      </c>
    </row>
    <row r="183" spans="1:4">
      <c r="C183" s="33">
        <v>5924</v>
      </c>
      <c r="D183" s="43" t="s">
        <v>753</v>
      </c>
    </row>
    <row r="184" spans="1:4">
      <c r="C184" s="33">
        <v>1000</v>
      </c>
      <c r="D184" s="43" t="s">
        <v>754</v>
      </c>
    </row>
    <row r="185" spans="1:4">
      <c r="A185" s="20">
        <v>44053</v>
      </c>
      <c r="B185" s="24">
        <v>1500</v>
      </c>
      <c r="D185" s="43" t="s">
        <v>755</v>
      </c>
    </row>
    <row r="186" spans="1:4">
      <c r="A186" s="20">
        <v>44056</v>
      </c>
      <c r="C186" s="33">
        <v>55000</v>
      </c>
      <c r="D186" s="43" t="s">
        <v>756</v>
      </c>
    </row>
    <row r="187" spans="1:4">
      <c r="A187" s="20">
        <v>44070</v>
      </c>
      <c r="C187" s="33">
        <v>9000</v>
      </c>
      <c r="D187" s="43" t="s">
        <v>757</v>
      </c>
    </row>
    <row r="188" spans="1:4">
      <c r="A188" s="20">
        <v>44071</v>
      </c>
      <c r="C188" s="33">
        <v>2600</v>
      </c>
      <c r="D188" s="43" t="s">
        <v>758</v>
      </c>
    </row>
    <row r="189" spans="1:4">
      <c r="A189" s="20">
        <v>44076</v>
      </c>
      <c r="C189" s="33">
        <v>1400</v>
      </c>
      <c r="D189" s="43" t="s">
        <v>759</v>
      </c>
    </row>
    <row r="190" spans="1:4">
      <c r="A190" s="20">
        <v>44079</v>
      </c>
      <c r="C190" s="33">
        <v>7200</v>
      </c>
      <c r="D190" s="43" t="s">
        <v>760</v>
      </c>
    </row>
    <row r="191" spans="1:4">
      <c r="B191" s="24">
        <v>10000</v>
      </c>
      <c r="D191" s="43" t="s">
        <v>761</v>
      </c>
    </row>
    <row r="192" spans="1:4">
      <c r="C192" s="33">
        <v>3000</v>
      </c>
      <c r="D192" s="43" t="s">
        <v>762</v>
      </c>
    </row>
    <row r="193" spans="1:4">
      <c r="C193" s="33">
        <v>1000</v>
      </c>
      <c r="D193" s="43" t="s">
        <v>763</v>
      </c>
    </row>
    <row r="194" spans="1:4">
      <c r="B194" s="24">
        <v>5962</v>
      </c>
      <c r="D194" s="43" t="s">
        <v>764</v>
      </c>
    </row>
    <row r="195" spans="1:4">
      <c r="A195" s="20">
        <v>44083</v>
      </c>
      <c r="B195" s="24">
        <v>20000</v>
      </c>
      <c r="D195" s="43" t="s">
        <v>765</v>
      </c>
    </row>
    <row r="196" spans="1:4">
      <c r="B196" s="24">
        <v>30000</v>
      </c>
      <c r="D196" s="43" t="s">
        <v>766</v>
      </c>
    </row>
    <row r="197" spans="1:4">
      <c r="A197" s="20">
        <v>44084</v>
      </c>
      <c r="B197" s="24">
        <v>19065</v>
      </c>
      <c r="D197" s="43" t="s">
        <v>767</v>
      </c>
    </row>
    <row r="198" spans="1:4">
      <c r="C198" s="33">
        <v>3700</v>
      </c>
      <c r="D198" s="43" t="s">
        <v>751</v>
      </c>
    </row>
    <row r="199" spans="1:4">
      <c r="C199" s="33">
        <v>14400</v>
      </c>
      <c r="D199" s="43" t="s">
        <v>768</v>
      </c>
    </row>
    <row r="200" spans="1:4">
      <c r="A200" s="20">
        <v>44089</v>
      </c>
      <c r="C200" s="33">
        <v>1338</v>
      </c>
      <c r="D200" s="43" t="s">
        <v>769</v>
      </c>
    </row>
    <row r="201" spans="1:4">
      <c r="C201" s="33">
        <v>1323</v>
      </c>
      <c r="D201" s="43" t="s">
        <v>770</v>
      </c>
    </row>
    <row r="202" spans="1:4">
      <c r="C202" s="33">
        <v>963</v>
      </c>
      <c r="D202" s="43" t="s">
        <v>771</v>
      </c>
    </row>
    <row r="203" spans="1:4">
      <c r="C203" s="33">
        <v>800</v>
      </c>
      <c r="D203" s="43" t="s">
        <v>772</v>
      </c>
    </row>
    <row r="204" spans="1:4">
      <c r="A204" s="20">
        <v>44091</v>
      </c>
      <c r="C204" s="33">
        <v>1400</v>
      </c>
      <c r="D204" s="43" t="s">
        <v>773</v>
      </c>
    </row>
    <row r="205" spans="1:4">
      <c r="A205" s="20">
        <v>44095</v>
      </c>
      <c r="C205" s="33">
        <v>27294</v>
      </c>
      <c r="D205" s="43" t="s">
        <v>774</v>
      </c>
    </row>
    <row r="206" spans="1:4">
      <c r="A206" s="69">
        <v>44096</v>
      </c>
      <c r="B206" s="70">
        <v>25000</v>
      </c>
      <c r="C206" s="71"/>
      <c r="D206" s="72" t="s">
        <v>775</v>
      </c>
    </row>
    <row r="207" spans="1:4">
      <c r="A207" s="69"/>
      <c r="B207" s="70">
        <v>10000</v>
      </c>
      <c r="C207" s="71"/>
      <c r="D207" s="72" t="s">
        <v>776</v>
      </c>
    </row>
    <row r="208" spans="1:4">
      <c r="A208" s="69">
        <v>44097</v>
      </c>
      <c r="B208" s="70"/>
      <c r="C208" s="71">
        <v>16800</v>
      </c>
      <c r="D208" s="72" t="s">
        <v>777</v>
      </c>
    </row>
    <row r="209" spans="1:4">
      <c r="C209" s="33">
        <v>7000</v>
      </c>
      <c r="D209" s="43" t="s">
        <v>778</v>
      </c>
    </row>
    <row r="210" spans="1:4">
      <c r="A210" s="20">
        <v>44104</v>
      </c>
      <c r="C210" s="33">
        <v>4500</v>
      </c>
      <c r="D210" s="43" t="s">
        <v>779</v>
      </c>
    </row>
    <row r="211" spans="1:4">
      <c r="C211" s="33">
        <v>6000</v>
      </c>
      <c r="D211" s="43" t="s">
        <v>780</v>
      </c>
    </row>
    <row r="212" spans="1:4">
      <c r="B212" s="24">
        <v>7000</v>
      </c>
      <c r="D212" s="43" t="s">
        <v>781</v>
      </c>
    </row>
    <row r="213" spans="1:4">
      <c r="B213" s="24">
        <v>16200</v>
      </c>
      <c r="D213" s="43" t="s">
        <v>782</v>
      </c>
    </row>
    <row r="214" spans="1:4">
      <c r="C214" s="33">
        <v>240</v>
      </c>
      <c r="D214" s="43" t="s">
        <v>783</v>
      </c>
    </row>
    <row r="215" spans="1:4">
      <c r="A215" s="20">
        <v>44108</v>
      </c>
      <c r="C215" s="33">
        <v>10080</v>
      </c>
      <c r="D215" s="43" t="s">
        <v>784</v>
      </c>
    </row>
    <row r="216" spans="1:4">
      <c r="A216" s="20">
        <v>44113</v>
      </c>
      <c r="B216" s="24">
        <v>6000</v>
      </c>
      <c r="D216" s="43" t="s">
        <v>785</v>
      </c>
    </row>
    <row r="217" spans="1:4">
      <c r="A217" s="79">
        <v>44115</v>
      </c>
      <c r="B217"/>
      <c r="C217">
        <v>21000</v>
      </c>
      <c r="D217" s="43" t="s">
        <v>786</v>
      </c>
    </row>
    <row r="218" spans="1:4">
      <c r="B218" s="26"/>
      <c r="C218" s="33">
        <v>1500</v>
      </c>
      <c r="D218" s="43" t="s">
        <v>787</v>
      </c>
    </row>
    <row r="219" spans="1:4">
      <c r="B219" s="26"/>
      <c r="C219" s="33">
        <v>680</v>
      </c>
      <c r="D219" s="43" t="s">
        <v>788</v>
      </c>
    </row>
    <row r="220" spans="1:4">
      <c r="B220" s="26"/>
      <c r="C220" s="33">
        <v>1985</v>
      </c>
      <c r="D220" s="43" t="s">
        <v>789</v>
      </c>
    </row>
    <row r="221" spans="1:4">
      <c r="B221" s="26">
        <v>2700</v>
      </c>
      <c r="D221" s="43" t="s">
        <v>790</v>
      </c>
    </row>
    <row r="222" spans="1:4">
      <c r="A222" s="20">
        <v>44116</v>
      </c>
      <c r="B222" s="26"/>
      <c r="C222" s="33">
        <v>6000</v>
      </c>
      <c r="D222" s="43" t="s">
        <v>791</v>
      </c>
    </row>
    <row r="223" spans="1:4">
      <c r="A223" s="20">
        <v>44117</v>
      </c>
      <c r="B223" s="26"/>
      <c r="C223" s="33">
        <v>11284</v>
      </c>
      <c r="D223" s="43" t="s">
        <v>792</v>
      </c>
    </row>
    <row r="224" spans="1:4">
      <c r="A224" s="20">
        <v>44120</v>
      </c>
      <c r="B224" s="26"/>
      <c r="C224" s="33">
        <v>8000</v>
      </c>
      <c r="D224" s="43" t="s">
        <v>793</v>
      </c>
    </row>
    <row r="225" spans="1:4">
      <c r="A225" s="20">
        <v>44121</v>
      </c>
      <c r="B225" s="26">
        <v>5000</v>
      </c>
      <c r="D225" s="43" t="s">
        <v>794</v>
      </c>
    </row>
    <row r="226" spans="1:4">
      <c r="A226" s="20">
        <v>44123</v>
      </c>
      <c r="B226" s="26"/>
      <c r="C226" s="33">
        <v>1683</v>
      </c>
      <c r="D226" s="43" t="s">
        <v>795</v>
      </c>
    </row>
    <row r="227" spans="1:4">
      <c r="B227" s="24">
        <v>3000</v>
      </c>
      <c r="D227" s="43" t="s">
        <v>796</v>
      </c>
    </row>
    <row r="228" spans="1:4">
      <c r="A228" s="20">
        <v>44124</v>
      </c>
      <c r="B228" s="24">
        <v>132500</v>
      </c>
      <c r="D228" s="43" t="s">
        <v>797</v>
      </c>
    </row>
    <row r="229" spans="1:4">
      <c r="B229" s="24">
        <v>28800</v>
      </c>
      <c r="D229" s="43" t="s">
        <v>798</v>
      </c>
    </row>
    <row r="230" spans="1:4">
      <c r="C230" s="33">
        <v>5500</v>
      </c>
      <c r="D230" s="43" t="s">
        <v>799</v>
      </c>
    </row>
    <row r="231" spans="1:4">
      <c r="A231" s="20">
        <v>44125</v>
      </c>
      <c r="B231" s="24">
        <v>10000</v>
      </c>
      <c r="D231" s="43" t="s">
        <v>800</v>
      </c>
    </row>
    <row r="232" spans="1:4">
      <c r="C232" s="33">
        <v>160</v>
      </c>
      <c r="D232" s="43" t="s">
        <v>801</v>
      </c>
    </row>
    <row r="233" spans="1:4">
      <c r="A233" s="20">
        <v>44131</v>
      </c>
      <c r="B233" s="24">
        <v>10000</v>
      </c>
      <c r="D233" s="43" t="s">
        <v>802</v>
      </c>
    </row>
    <row r="234" spans="1:4">
      <c r="B234" s="24">
        <v>7000</v>
      </c>
      <c r="D234" s="43" t="s">
        <v>803</v>
      </c>
    </row>
    <row r="235" spans="1:4">
      <c r="C235" s="33">
        <v>5000</v>
      </c>
      <c r="D235" s="43" t="s">
        <v>804</v>
      </c>
    </row>
    <row r="236" spans="1:4">
      <c r="A236" s="20">
        <v>44132</v>
      </c>
      <c r="C236" s="33">
        <v>16400</v>
      </c>
      <c r="D236" s="43" t="s">
        <v>805</v>
      </c>
    </row>
    <row r="237" spans="1:4">
      <c r="A237" s="20">
        <v>44133</v>
      </c>
      <c r="C237" s="33">
        <v>9700</v>
      </c>
      <c r="D237" s="43" t="s">
        <v>806</v>
      </c>
    </row>
    <row r="238" spans="1:4">
      <c r="A238" s="20">
        <v>44134</v>
      </c>
      <c r="B238" s="24">
        <v>2000</v>
      </c>
      <c r="D238" s="43" t="s">
        <v>807</v>
      </c>
    </row>
    <row r="239" spans="1:4">
      <c r="B239" s="24">
        <v>4500</v>
      </c>
      <c r="D239" s="43" t="s">
        <v>808</v>
      </c>
    </row>
    <row r="240" spans="1:4">
      <c r="A240" s="20">
        <v>44135</v>
      </c>
      <c r="C240" s="33">
        <v>15500</v>
      </c>
      <c r="D240" s="43" t="s">
        <v>809</v>
      </c>
    </row>
    <row r="241" spans="1:4">
      <c r="B241" s="24">
        <v>4700</v>
      </c>
      <c r="D241" s="43" t="s">
        <v>810</v>
      </c>
    </row>
    <row r="242" spans="1:4">
      <c r="B242" s="24">
        <v>2500</v>
      </c>
      <c r="D242" s="43" t="s">
        <v>811</v>
      </c>
    </row>
    <row r="243" spans="1:4">
      <c r="B243" s="24">
        <v>500</v>
      </c>
      <c r="D243" s="43" t="s">
        <v>812</v>
      </c>
    </row>
    <row r="244" spans="1:4">
      <c r="A244" s="20">
        <v>44138</v>
      </c>
      <c r="C244" s="33">
        <v>180</v>
      </c>
      <c r="D244" s="43" t="s">
        <v>813</v>
      </c>
    </row>
    <row r="245" spans="1:4">
      <c r="B245" s="24">
        <v>17000</v>
      </c>
      <c r="D245" s="43" t="s">
        <v>814</v>
      </c>
    </row>
    <row r="246" spans="1:4">
      <c r="A246" s="20">
        <v>44140</v>
      </c>
      <c r="C246" s="33">
        <v>706</v>
      </c>
      <c r="D246" s="43" t="s">
        <v>815</v>
      </c>
    </row>
    <row r="247" spans="1:4">
      <c r="A247" s="20">
        <v>44142</v>
      </c>
      <c r="C247" s="33">
        <v>723</v>
      </c>
      <c r="D247" s="43" t="s">
        <v>816</v>
      </c>
    </row>
    <row r="248" spans="1:4">
      <c r="C248" s="33">
        <v>7600</v>
      </c>
      <c r="D248" s="43" t="s">
        <v>818</v>
      </c>
    </row>
    <row r="249" spans="1:4">
      <c r="C249" s="33">
        <v>4000</v>
      </c>
      <c r="D249" s="43" t="s">
        <v>819</v>
      </c>
    </row>
    <row r="250" spans="1:4">
      <c r="A250" s="20">
        <v>44144</v>
      </c>
      <c r="C250" s="33">
        <v>170</v>
      </c>
      <c r="D250" s="43" t="s">
        <v>817</v>
      </c>
    </row>
    <row r="251" spans="1:4">
      <c r="A251" s="20">
        <v>44145</v>
      </c>
      <c r="C251" s="33">
        <v>1520</v>
      </c>
      <c r="D251" s="43" t="s">
        <v>820</v>
      </c>
    </row>
    <row r="252" spans="1:4">
      <c r="A252" s="20">
        <v>44146</v>
      </c>
      <c r="C252" s="33">
        <v>12030</v>
      </c>
      <c r="D252" s="43" t="s">
        <v>821</v>
      </c>
    </row>
    <row r="253" spans="1:4">
      <c r="C253" s="33">
        <v>3700</v>
      </c>
      <c r="D253" s="43" t="s">
        <v>322</v>
      </c>
    </row>
    <row r="254" spans="1:4">
      <c r="B254" s="24">
        <v>10000</v>
      </c>
      <c r="D254" s="43" t="s">
        <v>822</v>
      </c>
    </row>
    <row r="255" spans="1:4">
      <c r="A255" s="20">
        <v>44150</v>
      </c>
      <c r="B255" s="24">
        <v>6250</v>
      </c>
      <c r="D255" s="43" t="s">
        <v>823</v>
      </c>
    </row>
    <row r="256" spans="1:4">
      <c r="C256" s="80">
        <v>1300</v>
      </c>
      <c r="D256" s="81" t="s">
        <v>824</v>
      </c>
    </row>
    <row r="257" spans="1:4">
      <c r="C257" s="33">
        <v>5000</v>
      </c>
      <c r="D257" s="43" t="s">
        <v>825</v>
      </c>
    </row>
    <row r="258" spans="1:4">
      <c r="C258" s="33">
        <v>6000</v>
      </c>
      <c r="D258" s="43" t="s">
        <v>826</v>
      </c>
    </row>
    <row r="259" spans="1:4">
      <c r="B259" s="24">
        <v>136000</v>
      </c>
      <c r="D259" s="43" t="s">
        <v>827</v>
      </c>
    </row>
    <row r="260" spans="1:4">
      <c r="A260" s="20">
        <v>44151</v>
      </c>
      <c r="B260" s="24">
        <v>5000</v>
      </c>
      <c r="D260" s="43" t="s">
        <v>828</v>
      </c>
    </row>
    <row r="261" spans="1:4">
      <c r="C261" s="33">
        <v>2200</v>
      </c>
      <c r="D261" s="43" t="s">
        <v>829</v>
      </c>
    </row>
    <row r="262" spans="1:4">
      <c r="A262" s="20">
        <v>44152</v>
      </c>
      <c r="B262" s="24">
        <v>3000</v>
      </c>
      <c r="D262" s="43" t="s">
        <v>830</v>
      </c>
    </row>
    <row r="263" spans="1:4">
      <c r="A263" s="20">
        <v>44155</v>
      </c>
      <c r="C263" s="33">
        <v>20000</v>
      </c>
      <c r="D263" s="43" t="s">
        <v>831</v>
      </c>
    </row>
    <row r="264" spans="1:4">
      <c r="C264" s="33">
        <v>2000</v>
      </c>
      <c r="D264" s="43" t="s">
        <v>832</v>
      </c>
    </row>
    <row r="265" spans="1:4">
      <c r="C265" s="33">
        <v>2000</v>
      </c>
      <c r="D265" s="43" t="s">
        <v>833</v>
      </c>
    </row>
    <row r="266" spans="1:4">
      <c r="A266" s="20">
        <v>44157</v>
      </c>
      <c r="B266" s="24">
        <v>2650</v>
      </c>
      <c r="D266" s="43" t="s">
        <v>834</v>
      </c>
    </row>
    <row r="267" spans="1:4">
      <c r="B267" s="24">
        <v>2650</v>
      </c>
      <c r="D267" s="43" t="s">
        <v>835</v>
      </c>
    </row>
    <row r="268" spans="1:4">
      <c r="B268" s="24">
        <v>5000</v>
      </c>
      <c r="D268" s="43" t="s">
        <v>836</v>
      </c>
    </row>
    <row r="269" spans="1:4">
      <c r="B269" s="24">
        <v>5000</v>
      </c>
      <c r="D269" s="43" t="s">
        <v>837</v>
      </c>
    </row>
    <row r="270" spans="1:4">
      <c r="B270" s="24">
        <v>120000</v>
      </c>
      <c r="D270" s="43" t="s">
        <v>838</v>
      </c>
    </row>
    <row r="271" spans="1:4">
      <c r="C271" s="33">
        <v>8400</v>
      </c>
      <c r="D271" s="43" t="s">
        <v>750</v>
      </c>
    </row>
    <row r="272" spans="1:4">
      <c r="C272" s="33">
        <v>21500</v>
      </c>
      <c r="D272" s="43" t="s">
        <v>726</v>
      </c>
    </row>
    <row r="273" spans="1:4">
      <c r="A273" s="20">
        <v>44159</v>
      </c>
      <c r="B273" s="24">
        <v>15990</v>
      </c>
      <c r="D273" s="43" t="s">
        <v>839</v>
      </c>
    </row>
    <row r="274" spans="1:4">
      <c r="C274" s="33">
        <v>1119</v>
      </c>
      <c r="D274" s="43" t="s">
        <v>840</v>
      </c>
    </row>
    <row r="275" spans="1:4">
      <c r="C275" s="80">
        <v>3300</v>
      </c>
      <c r="D275" s="81" t="s">
        <v>841</v>
      </c>
    </row>
    <row r="276" spans="1:4">
      <c r="B276" s="24">
        <v>10000</v>
      </c>
      <c r="D276" s="43" t="s">
        <v>842</v>
      </c>
    </row>
    <row r="277" spans="1:4">
      <c r="A277" s="20">
        <v>44160</v>
      </c>
      <c r="C277" s="33">
        <v>5000</v>
      </c>
      <c r="D277" s="43" t="s">
        <v>843</v>
      </c>
    </row>
    <row r="278" spans="1:4">
      <c r="A278" s="20">
        <v>44161</v>
      </c>
      <c r="C278" s="33">
        <v>6330</v>
      </c>
      <c r="D278" s="43" t="s">
        <v>844</v>
      </c>
    </row>
    <row r="279" spans="1:4">
      <c r="A279" s="20">
        <v>44162</v>
      </c>
      <c r="B279" s="24">
        <v>22000</v>
      </c>
      <c r="D279" s="43" t="s">
        <v>845</v>
      </c>
    </row>
    <row r="280" spans="1:4">
      <c r="C280" s="33">
        <v>1540</v>
      </c>
      <c r="D280" s="43" t="s">
        <v>846</v>
      </c>
    </row>
    <row r="281" spans="1:4">
      <c r="B281" s="24">
        <v>38200</v>
      </c>
      <c r="D281" s="43" t="s">
        <v>847</v>
      </c>
    </row>
    <row r="282" spans="1:4">
      <c r="C282" s="33">
        <v>1319</v>
      </c>
      <c r="D282" s="43" t="s">
        <v>594</v>
      </c>
    </row>
    <row r="283" spans="1:4">
      <c r="A283" s="20">
        <v>44165</v>
      </c>
      <c r="C283" s="33">
        <v>2800</v>
      </c>
      <c r="D283" s="43" t="s">
        <v>848</v>
      </c>
    </row>
    <row r="284" spans="1:4">
      <c r="B284" s="24">
        <v>700</v>
      </c>
      <c r="C284" s="33">
        <v>700</v>
      </c>
      <c r="D284" s="43" t="s">
        <v>849</v>
      </c>
    </row>
    <row r="285" spans="1:4">
      <c r="C285" s="80">
        <v>965</v>
      </c>
      <c r="D285" s="81" t="s">
        <v>850</v>
      </c>
    </row>
    <row r="286" spans="1:4">
      <c r="C286" s="33">
        <v>17450</v>
      </c>
      <c r="D286" s="43" t="s">
        <v>851</v>
      </c>
    </row>
    <row r="287" spans="1:4">
      <c r="C287" s="33">
        <v>5000</v>
      </c>
      <c r="D287" s="43" t="s">
        <v>854</v>
      </c>
    </row>
    <row r="288" spans="1:4">
      <c r="A288" s="20">
        <v>44166</v>
      </c>
      <c r="B288" s="24">
        <v>2000</v>
      </c>
      <c r="D288" s="43" t="s">
        <v>852</v>
      </c>
    </row>
    <row r="289" spans="1:4">
      <c r="A289" s="20">
        <v>44167</v>
      </c>
      <c r="B289" s="24">
        <v>20000</v>
      </c>
      <c r="D289" s="43" t="s">
        <v>853</v>
      </c>
    </row>
    <row r="290" spans="1:4">
      <c r="A290" s="20">
        <v>44168</v>
      </c>
      <c r="C290" s="80">
        <v>3600</v>
      </c>
      <c r="D290" s="81" t="s">
        <v>855</v>
      </c>
    </row>
    <row r="291" spans="1:4">
      <c r="B291" s="24">
        <v>5000</v>
      </c>
      <c r="D291" s="43" t="s">
        <v>856</v>
      </c>
    </row>
    <row r="292" spans="1:4">
      <c r="C292" s="33">
        <v>1000</v>
      </c>
      <c r="D292" s="43" t="s">
        <v>857</v>
      </c>
    </row>
    <row r="293" spans="1:4">
      <c r="B293" s="24">
        <v>1500</v>
      </c>
      <c r="D293" s="43" t="s">
        <v>858</v>
      </c>
    </row>
    <row r="294" spans="1:4">
      <c r="A294" s="20">
        <v>44172</v>
      </c>
      <c r="C294" s="33">
        <v>2500</v>
      </c>
      <c r="D294" s="43" t="s">
        <v>859</v>
      </c>
    </row>
    <row r="295" spans="1:4">
      <c r="A295" s="20">
        <v>44174</v>
      </c>
      <c r="C295" s="80">
        <v>7900</v>
      </c>
      <c r="D295" s="81" t="s">
        <v>860</v>
      </c>
    </row>
    <row r="296" spans="1:4">
      <c r="C296" s="33">
        <v>3000</v>
      </c>
      <c r="D296" s="43" t="s">
        <v>861</v>
      </c>
    </row>
    <row r="297" spans="1:4">
      <c r="A297" s="20">
        <v>44174</v>
      </c>
      <c r="B297" s="24">
        <v>13000</v>
      </c>
      <c r="D297" s="43" t="s">
        <v>862</v>
      </c>
    </row>
    <row r="298" spans="1:4">
      <c r="C298" s="33">
        <v>12600</v>
      </c>
      <c r="D298" s="43" t="s">
        <v>863</v>
      </c>
    </row>
    <row r="299" spans="1:4">
      <c r="A299" s="20">
        <v>44175</v>
      </c>
      <c r="C299" s="33">
        <v>320</v>
      </c>
      <c r="D299" s="43" t="s">
        <v>864</v>
      </c>
    </row>
    <row r="300" spans="1:4">
      <c r="A300" s="20">
        <v>44177</v>
      </c>
      <c r="C300" s="33">
        <v>1000</v>
      </c>
      <c r="D300" s="43" t="s">
        <v>864</v>
      </c>
    </row>
    <row r="301" spans="1:4">
      <c r="C301" s="33">
        <v>2500</v>
      </c>
      <c r="D301" s="43" t="s">
        <v>865</v>
      </c>
    </row>
    <row r="302" spans="1:4">
      <c r="A302" s="20">
        <v>44181</v>
      </c>
      <c r="B302" s="24">
        <v>17400</v>
      </c>
      <c r="D302" s="43" t="s">
        <v>866</v>
      </c>
    </row>
    <row r="303" spans="1:4">
      <c r="A303" s="20">
        <v>44182</v>
      </c>
      <c r="C303" s="82">
        <v>2310</v>
      </c>
      <c r="D303" s="83" t="s">
        <v>867</v>
      </c>
    </row>
    <row r="304" spans="1:4">
      <c r="B304" s="24">
        <v>145000</v>
      </c>
      <c r="D304" s="43" t="s">
        <v>775</v>
      </c>
    </row>
    <row r="305" spans="1:4">
      <c r="A305" s="20">
        <v>44183</v>
      </c>
      <c r="C305" s="33">
        <v>6481</v>
      </c>
      <c r="D305" s="43" t="s">
        <v>868</v>
      </c>
    </row>
    <row r="306" spans="1:4">
      <c r="A306" s="20">
        <v>44186</v>
      </c>
      <c r="C306" s="33">
        <v>1400</v>
      </c>
      <c r="D306" s="43" t="s">
        <v>869</v>
      </c>
    </row>
    <row r="307" spans="1:4">
      <c r="C307" s="82">
        <v>450</v>
      </c>
      <c r="D307" s="83" t="s">
        <v>870</v>
      </c>
    </row>
    <row r="308" spans="1:4">
      <c r="B308" s="24">
        <v>20000</v>
      </c>
      <c r="D308" s="43" t="s">
        <v>871</v>
      </c>
    </row>
    <row r="309" spans="1:4">
      <c r="A309" s="20">
        <v>44188</v>
      </c>
      <c r="B309" s="24">
        <v>1500</v>
      </c>
      <c r="D309" s="43" t="s">
        <v>872</v>
      </c>
    </row>
    <row r="310" spans="1:4">
      <c r="A310" s="20">
        <v>44189</v>
      </c>
      <c r="B310" s="24">
        <v>80000</v>
      </c>
      <c r="D310" s="43" t="s">
        <v>873</v>
      </c>
    </row>
    <row r="311" spans="1:4">
      <c r="A311" s="20">
        <v>44191</v>
      </c>
      <c r="B311" s="24">
        <v>7000</v>
      </c>
      <c r="D311" s="43" t="s">
        <v>874</v>
      </c>
    </row>
    <row r="312" spans="1:4">
      <c r="A312" s="20">
        <v>44192</v>
      </c>
      <c r="B312" s="24">
        <v>4500</v>
      </c>
      <c r="D312" s="43" t="s">
        <v>875</v>
      </c>
    </row>
    <row r="313" spans="1:4">
      <c r="A313" s="20">
        <v>44194</v>
      </c>
      <c r="C313" s="33">
        <v>460</v>
      </c>
      <c r="D313" s="43" t="s">
        <v>876</v>
      </c>
    </row>
    <row r="432" spans="5:5">
      <c r="E432"/>
    </row>
    <row r="433" spans="5:5">
      <c r="E433"/>
    </row>
    <row r="434" spans="5:5">
      <c r="E434"/>
    </row>
    <row r="435" spans="5:5">
      <c r="E435"/>
    </row>
    <row r="436" spans="5:5">
      <c r="E436"/>
    </row>
    <row r="437" spans="5:5">
      <c r="E437"/>
    </row>
    <row r="438" spans="5:5">
      <c r="E438"/>
    </row>
    <row r="500" spans="1:5" s="11" customFormat="1">
      <c r="A500" s="55"/>
      <c r="B500" s="27"/>
      <c r="C500" s="35"/>
      <c r="D500" s="45"/>
      <c r="E500" s="12"/>
    </row>
    <row r="662" spans="1:5" s="10" customFormat="1">
      <c r="A662" s="21"/>
      <c r="B662" s="25"/>
      <c r="C662" s="34"/>
      <c r="D662" s="44"/>
      <c r="E662" s="9"/>
    </row>
    <row r="757" spans="1:5" s="11" customFormat="1">
      <c r="A757" s="55"/>
      <c r="B757" s="27"/>
      <c r="C757" s="35"/>
      <c r="D757" s="45"/>
      <c r="E757" s="12"/>
    </row>
    <row r="788" spans="1:5" s="10" customFormat="1">
      <c r="A788" s="21"/>
      <c r="B788" s="25"/>
      <c r="C788" s="34"/>
      <c r="D788" s="44"/>
      <c r="E788" s="9"/>
    </row>
    <row r="789" spans="1:5" s="10" customFormat="1">
      <c r="A789" s="21"/>
      <c r="B789" s="25"/>
      <c r="C789" s="34"/>
      <c r="D789" s="44"/>
      <c r="E789" s="9"/>
    </row>
    <row r="811" spans="1:4">
      <c r="B811" s="28"/>
      <c r="C811" s="36"/>
      <c r="D811" s="46"/>
    </row>
    <row r="812" spans="1:4">
      <c r="A812" s="56"/>
      <c r="B812" s="28"/>
      <c r="C812" s="36"/>
      <c r="D812" s="47"/>
    </row>
    <row r="813" spans="1:4">
      <c r="A813" s="56"/>
      <c r="B813" s="28"/>
      <c r="C813" s="36"/>
      <c r="D813" s="47"/>
    </row>
    <row r="814" spans="1:4">
      <c r="A814" s="56"/>
      <c r="B814" s="28"/>
      <c r="C814" s="36"/>
      <c r="D814" s="47"/>
    </row>
    <row r="815" spans="1:4">
      <c r="A815" s="56"/>
    </row>
    <row r="826" spans="3:3">
      <c r="C826" s="37"/>
    </row>
    <row r="942" spans="3:3">
      <c r="C942" s="37"/>
    </row>
    <row r="993" spans="1:5" s="11" customFormat="1">
      <c r="A993" s="55"/>
      <c r="B993" s="27"/>
      <c r="C993" s="35"/>
      <c r="D993" s="45"/>
      <c r="E993" s="12"/>
    </row>
    <row r="1011" spans="4:4">
      <c r="D1011" s="48"/>
    </row>
    <row r="1151" spans="1:5" s="13" customFormat="1">
      <c r="A1151" s="57"/>
      <c r="B1151" s="29"/>
      <c r="C1151" s="38"/>
      <c r="D1151" s="49"/>
      <c r="E1151" s="14"/>
    </row>
    <row r="1267" spans="1:5" s="16" customFormat="1">
      <c r="A1267" s="58"/>
      <c r="B1267" s="30"/>
      <c r="C1267" s="39"/>
      <c r="D1267" s="50"/>
      <c r="E1267" s="15"/>
    </row>
    <row r="1302" spans="1:5">
      <c r="C1302" s="37"/>
    </row>
    <row r="1303" spans="1:5" s="10" customFormat="1">
      <c r="A1303" s="21"/>
      <c r="B1303" s="25"/>
      <c r="C1303" s="34"/>
      <c r="D1303" s="44"/>
      <c r="E1303" s="9"/>
    </row>
    <row r="1313" spans="1:5" s="10" customFormat="1">
      <c r="A1313" s="21"/>
      <c r="B1313" s="25"/>
      <c r="C1313" s="34"/>
      <c r="D1313" s="44"/>
      <c r="E1313" s="9"/>
    </row>
    <row r="1361" spans="1:5" s="16" customFormat="1">
      <c r="A1361" s="58"/>
      <c r="B1361" s="30"/>
      <c r="C1361" s="39"/>
      <c r="D1361" s="50"/>
      <c r="E1361" s="15"/>
    </row>
    <row r="1412" spans="1:5" s="10" customFormat="1">
      <c r="A1412" s="21"/>
      <c r="B1412" s="25"/>
      <c r="C1412" s="34"/>
      <c r="D1412" s="44"/>
      <c r="E1412" s="9"/>
    </row>
    <row r="1435" spans="5:5">
      <c r="E1435"/>
    </row>
    <row r="1494" spans="1:5" s="8" customFormat="1">
      <c r="A1494" s="59"/>
      <c r="B1494" s="31"/>
      <c r="C1494" s="40"/>
      <c r="D1494" s="51"/>
      <c r="E1494" s="7"/>
    </row>
    <row r="1499" spans="1:5" s="8" customFormat="1">
      <c r="A1499" s="59"/>
      <c r="B1499" s="31"/>
      <c r="C1499" s="40"/>
      <c r="D1499" s="51"/>
      <c r="E1499" s="7"/>
    </row>
    <row r="1503" spans="1:5">
      <c r="D1503" s="18"/>
    </row>
    <row r="1504" spans="1:5">
      <c r="D1504" s="18"/>
    </row>
    <row r="1505" spans="4:4">
      <c r="D1505" s="18"/>
    </row>
    <row r="1506" spans="4:4">
      <c r="D1506" s="18"/>
    </row>
    <row r="1507" spans="4:4">
      <c r="D1507" s="18"/>
    </row>
    <row r="1508" spans="4:4">
      <c r="D1508" s="18"/>
    </row>
    <row r="1509" spans="4:4">
      <c r="D1509" s="18"/>
    </row>
    <row r="1510" spans="4:4">
      <c r="D1510" s="18"/>
    </row>
    <row r="1511" spans="4:4">
      <c r="D1511" s="18"/>
    </row>
    <row r="1512" spans="4:4">
      <c r="D1512" s="18"/>
    </row>
    <row r="1513" spans="4:4">
      <c r="D1513" s="18"/>
    </row>
    <row r="1514" spans="4:4">
      <c r="D1514" s="18"/>
    </row>
    <row r="1515" spans="4:4">
      <c r="D1515" s="18"/>
    </row>
    <row r="1517" spans="4:4">
      <c r="D1517" s="18"/>
    </row>
    <row r="1518" spans="4:4">
      <c r="D1518" s="18"/>
    </row>
    <row r="1519" spans="4:4">
      <c r="D1519" s="18"/>
    </row>
    <row r="1520" spans="4:4">
      <c r="D1520" s="18"/>
    </row>
    <row r="1521" spans="4:4">
      <c r="D1521" s="18"/>
    </row>
    <row r="1522" spans="4:4">
      <c r="D1522" s="18"/>
    </row>
    <row r="1523" spans="4:4">
      <c r="D1523" s="18"/>
    </row>
    <row r="1524" spans="4:4">
      <c r="D1524" s="18"/>
    </row>
    <row r="1525" spans="4:4">
      <c r="D1525" s="18"/>
    </row>
    <row r="1526" spans="4:4">
      <c r="D1526" s="18"/>
    </row>
    <row r="1527" spans="4:4">
      <c r="D1527" s="18"/>
    </row>
    <row r="1528" spans="4:4">
      <c r="D1528" s="18"/>
    </row>
    <row r="1529" spans="4:4">
      <c r="D1529" s="18"/>
    </row>
    <row r="1530" spans="4:4">
      <c r="D1530" s="18"/>
    </row>
    <row r="1531" spans="4:4">
      <c r="D1531" s="18"/>
    </row>
    <row r="1548" spans="1:5" s="13" customFormat="1">
      <c r="A1548" s="57"/>
      <c r="B1548" s="29"/>
      <c r="C1548" s="38"/>
      <c r="D1548" s="49"/>
      <c r="E1548" s="14"/>
    </row>
    <row r="1568" spans="4:4">
      <c r="D1568" s="18"/>
    </row>
    <row r="1569" spans="4:4">
      <c r="D1569" s="18"/>
    </row>
    <row r="1570" spans="4:4">
      <c r="D1570" s="18"/>
    </row>
    <row r="1571" spans="4:4">
      <c r="D1571" s="18"/>
    </row>
    <row r="1572" spans="4:4">
      <c r="D1572" s="18"/>
    </row>
    <row r="1573" spans="4:4">
      <c r="D1573" s="18"/>
    </row>
    <row r="1748" spans="4:4">
      <c r="D1748" s="18"/>
    </row>
    <row r="1815" spans="1:4" ht="13.5" thickBot="1"/>
    <row r="1816" spans="1:4" ht="15.75" thickBot="1">
      <c r="A1816" s="60"/>
      <c r="B1816" s="53"/>
      <c r="C1816" s="54"/>
      <c r="D1816" s="52"/>
    </row>
    <row r="1817" spans="1:4" ht="15.75" thickBot="1">
      <c r="A1817" s="60"/>
      <c r="B1817" s="53"/>
      <c r="C1817" s="54"/>
      <c r="D1817" s="52"/>
    </row>
    <row r="1818" spans="1:4" ht="15.75" thickBot="1">
      <c r="A1818" s="60"/>
      <c r="B1818" s="53"/>
      <c r="C1818" s="54"/>
      <c r="D1818" s="52"/>
    </row>
    <row r="1819" spans="1:4" ht="15.75" thickBot="1">
      <c r="A1819" s="60"/>
      <c r="B1819" s="53"/>
      <c r="C1819" s="54"/>
      <c r="D1819" s="52"/>
    </row>
    <row r="1820" spans="1:4" ht="15.75" thickBot="1">
      <c r="A1820" s="60"/>
      <c r="B1820" s="53"/>
      <c r="C1820" s="54"/>
      <c r="D1820" s="52"/>
    </row>
    <row r="1821" spans="1:4" ht="15.75" thickBot="1">
      <c r="A1821" s="60"/>
      <c r="B1821" s="53"/>
      <c r="C1821" s="54"/>
      <c r="D1821" s="52"/>
    </row>
    <row r="1822" spans="1:4" ht="15.75" thickBot="1">
      <c r="A1822" s="60"/>
      <c r="B1822" s="53"/>
      <c r="C1822" s="54"/>
      <c r="D1822" s="52"/>
    </row>
    <row r="1823" spans="1:4" ht="15.75" thickBot="1">
      <c r="A1823" s="60"/>
      <c r="B1823" s="53"/>
      <c r="C1823" s="54"/>
      <c r="D1823" s="52"/>
    </row>
    <row r="1824" spans="1:4" ht="15.75" thickBot="1">
      <c r="A1824" s="60"/>
      <c r="B1824" s="53"/>
      <c r="C1824" s="54"/>
      <c r="D1824" s="52"/>
    </row>
    <row r="1825" spans="1:4" ht="15.75" thickBot="1">
      <c r="A1825" s="60"/>
      <c r="B1825" s="53"/>
      <c r="C1825" s="54"/>
      <c r="D1825" s="52"/>
    </row>
    <row r="1826" spans="1:4" ht="15.75" thickBot="1">
      <c r="A1826" s="60"/>
      <c r="B1826" s="53"/>
      <c r="C1826" s="54"/>
      <c r="D1826" s="52"/>
    </row>
    <row r="1827" spans="1:4" ht="15.75" thickBot="1">
      <c r="A1827" s="60"/>
      <c r="B1827" s="53"/>
      <c r="C1827" s="54"/>
      <c r="D1827" s="52"/>
    </row>
    <row r="1828" spans="1:4" ht="15.75" thickBot="1">
      <c r="A1828" s="60"/>
      <c r="B1828" s="53"/>
      <c r="C1828" s="54"/>
      <c r="D1828" s="52"/>
    </row>
    <row r="1829" spans="1:4" ht="15.75" thickBot="1">
      <c r="A1829" s="60"/>
      <c r="B1829" s="53"/>
      <c r="C1829" s="54"/>
      <c r="D1829" s="52"/>
    </row>
    <row r="1830" spans="1:4" ht="15.75" thickBot="1">
      <c r="A1830" s="60"/>
      <c r="B1830" s="53"/>
      <c r="C1830" s="54"/>
      <c r="D1830" s="52"/>
    </row>
    <row r="1831" spans="1:4" ht="15.75" thickBot="1">
      <c r="A1831" s="60"/>
      <c r="B1831" s="53"/>
      <c r="C1831" s="54"/>
      <c r="D1831" s="52"/>
    </row>
    <row r="1856" spans="1:5" s="8" customFormat="1">
      <c r="A1856" s="59"/>
      <c r="B1856" s="31"/>
      <c r="C1856" s="40"/>
      <c r="D1856" s="51"/>
      <c r="E1856" s="7"/>
    </row>
  </sheetData>
  <mergeCells count="4">
    <mergeCell ref="F1:H1"/>
    <mergeCell ref="F2:H2"/>
    <mergeCell ref="B3:C3"/>
    <mergeCell ref="G3:H3"/>
  </mergeCells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A1:H1850"/>
  <sheetViews>
    <sheetView zoomScale="110" zoomScaleNormal="110" workbookViewId="0">
      <pane ySplit="3" topLeftCell="A357" activePane="bottomLeft" state="frozen"/>
      <selection pane="bottomLeft" activeCell="D84" sqref="D84"/>
    </sheetView>
  </sheetViews>
  <sheetFormatPr defaultRowHeight="12.75"/>
  <cols>
    <col min="1" max="1" width="16.85546875" style="20" customWidth="1"/>
    <col min="2" max="2" width="16.85546875" style="24" customWidth="1"/>
    <col min="3" max="3" width="16.85546875" style="33" customWidth="1"/>
    <col min="4" max="4" width="76" style="43" customWidth="1"/>
    <col min="5" max="5" width="10.85546875" style="3" customWidth="1"/>
    <col min="6" max="6" width="13.85546875" customWidth="1"/>
  </cols>
  <sheetData>
    <row r="1" spans="1:8" s="2" customFormat="1" ht="24" customHeight="1">
      <c r="A1" s="17" t="s">
        <v>0</v>
      </c>
      <c r="B1" s="1" t="s">
        <v>1</v>
      </c>
      <c r="C1" s="22" t="s">
        <v>2</v>
      </c>
      <c r="D1" s="41" t="s">
        <v>3</v>
      </c>
      <c r="E1" s="61">
        <v>365</v>
      </c>
      <c r="F1" s="105" t="s">
        <v>272</v>
      </c>
      <c r="G1" s="105"/>
      <c r="H1" s="105"/>
    </row>
    <row r="2" spans="1:8" s="2" customFormat="1" ht="24" customHeight="1">
      <c r="A2" s="19"/>
      <c r="B2" s="23">
        <f>SUM(B4:B2125)</f>
        <v>3540824</v>
      </c>
      <c r="C2" s="32">
        <f>SUM(C4:C2125)</f>
        <v>1839484</v>
      </c>
      <c r="D2" s="42"/>
      <c r="E2" s="62">
        <f>B3/E1</f>
        <v>4661.2054794520545</v>
      </c>
      <c r="F2" s="106" t="s">
        <v>274</v>
      </c>
      <c r="G2" s="106"/>
      <c r="H2" s="106"/>
    </row>
    <row r="3" spans="1:8" s="2" customFormat="1" ht="24" customHeight="1">
      <c r="A3" s="19" t="s">
        <v>4</v>
      </c>
      <c r="B3" s="107">
        <f>B2-C2</f>
        <v>1701340</v>
      </c>
      <c r="C3" s="107"/>
      <c r="D3" s="42"/>
      <c r="E3" s="62">
        <f>E2/8</f>
        <v>582.65068493150682</v>
      </c>
      <c r="F3" s="62">
        <f>E3*160</f>
        <v>93224.109589041094</v>
      </c>
      <c r="G3" s="105" t="s">
        <v>273</v>
      </c>
      <c r="H3" s="105"/>
    </row>
    <row r="4" spans="1:8">
      <c r="A4" s="20">
        <v>43466</v>
      </c>
      <c r="B4" s="26"/>
      <c r="C4" s="33">
        <v>12500</v>
      </c>
      <c r="D4" s="18" t="s">
        <v>195</v>
      </c>
    </row>
    <row r="5" spans="1:8">
      <c r="B5" s="26"/>
      <c r="C5" s="33">
        <v>840</v>
      </c>
      <c r="D5" s="18" t="s">
        <v>202</v>
      </c>
    </row>
    <row r="6" spans="1:8">
      <c r="B6" s="26"/>
      <c r="C6" s="33">
        <v>4000</v>
      </c>
      <c r="D6" s="18" t="s">
        <v>196</v>
      </c>
    </row>
    <row r="7" spans="1:8">
      <c r="B7" s="26">
        <v>15000</v>
      </c>
      <c r="D7" s="18" t="s">
        <v>203</v>
      </c>
    </row>
    <row r="8" spans="1:8">
      <c r="A8" s="20">
        <v>43477</v>
      </c>
      <c r="B8" s="26"/>
      <c r="C8" s="33">
        <v>660</v>
      </c>
      <c r="D8" s="18" t="s">
        <v>197</v>
      </c>
    </row>
    <row r="9" spans="1:8">
      <c r="B9" s="26"/>
      <c r="C9" s="33">
        <v>2055</v>
      </c>
      <c r="D9" s="18" t="s">
        <v>198</v>
      </c>
    </row>
    <row r="10" spans="1:8">
      <c r="B10" s="26">
        <v>10000</v>
      </c>
      <c r="D10" s="18" t="s">
        <v>199</v>
      </c>
    </row>
    <row r="11" spans="1:8">
      <c r="B11" s="26"/>
      <c r="C11" s="33">
        <v>6200</v>
      </c>
      <c r="D11" s="18" t="s">
        <v>200</v>
      </c>
    </row>
    <row r="12" spans="1:8">
      <c r="B12" s="26"/>
      <c r="C12" s="33">
        <v>300</v>
      </c>
      <c r="D12" s="18" t="s">
        <v>201</v>
      </c>
    </row>
    <row r="13" spans="1:8">
      <c r="B13" s="26"/>
      <c r="C13" s="33">
        <v>1400</v>
      </c>
      <c r="D13" s="18" t="s">
        <v>201</v>
      </c>
    </row>
    <row r="14" spans="1:8">
      <c r="A14" s="20">
        <v>43480</v>
      </c>
      <c r="C14" s="33">
        <v>1500</v>
      </c>
      <c r="D14" s="43" t="s">
        <v>204</v>
      </c>
    </row>
    <row r="15" spans="1:8">
      <c r="C15" s="33">
        <v>700</v>
      </c>
      <c r="D15" s="43" t="s">
        <v>205</v>
      </c>
    </row>
    <row r="16" spans="1:8">
      <c r="A16" s="20">
        <v>43482</v>
      </c>
      <c r="B16" s="24">
        <v>6000</v>
      </c>
      <c r="D16" s="43" t="s">
        <v>206</v>
      </c>
    </row>
    <row r="17" spans="1:4">
      <c r="C17" s="33">
        <v>632</v>
      </c>
      <c r="D17" s="43" t="s">
        <v>208</v>
      </c>
    </row>
    <row r="18" spans="1:4">
      <c r="C18" s="33">
        <v>883</v>
      </c>
      <c r="D18" s="43" t="s">
        <v>207</v>
      </c>
    </row>
    <row r="19" spans="1:4">
      <c r="C19" s="33">
        <v>674</v>
      </c>
      <c r="D19" s="43" t="s">
        <v>209</v>
      </c>
    </row>
    <row r="20" spans="1:4">
      <c r="A20" s="20">
        <v>43485</v>
      </c>
      <c r="B20" s="24">
        <v>5000</v>
      </c>
      <c r="D20" s="43" t="s">
        <v>210</v>
      </c>
    </row>
    <row r="21" spans="1:4">
      <c r="C21" s="33">
        <v>2500</v>
      </c>
      <c r="D21" s="43" t="s">
        <v>211</v>
      </c>
    </row>
    <row r="22" spans="1:4">
      <c r="B22" s="24">
        <v>10000</v>
      </c>
      <c r="D22" s="43" t="s">
        <v>212</v>
      </c>
    </row>
    <row r="23" spans="1:4">
      <c r="B23" s="24">
        <v>57600</v>
      </c>
      <c r="D23" s="43" t="s">
        <v>213</v>
      </c>
    </row>
    <row r="24" spans="1:4">
      <c r="C24" s="33">
        <v>5200</v>
      </c>
      <c r="D24" s="43" t="s">
        <v>214</v>
      </c>
    </row>
    <row r="25" spans="1:4">
      <c r="A25" s="20">
        <v>43127</v>
      </c>
      <c r="C25" s="33">
        <v>1350</v>
      </c>
      <c r="D25" s="43" t="s">
        <v>215</v>
      </c>
    </row>
    <row r="26" spans="1:4">
      <c r="A26" s="20">
        <v>43493</v>
      </c>
      <c r="C26" s="33">
        <v>6130</v>
      </c>
      <c r="D26" s="43" t="s">
        <v>216</v>
      </c>
    </row>
    <row r="27" spans="1:4">
      <c r="A27" s="20">
        <v>43494</v>
      </c>
      <c r="B27" s="24">
        <v>2000</v>
      </c>
      <c r="D27" s="43" t="s">
        <v>217</v>
      </c>
    </row>
    <row r="28" spans="1:4">
      <c r="A28" s="20">
        <v>43495</v>
      </c>
      <c r="C28" s="33">
        <v>5500</v>
      </c>
      <c r="D28" s="43" t="s">
        <v>218</v>
      </c>
    </row>
    <row r="29" spans="1:4">
      <c r="A29" s="20">
        <v>43497</v>
      </c>
      <c r="B29" s="24">
        <v>10000</v>
      </c>
      <c r="D29" s="43" t="s">
        <v>219</v>
      </c>
    </row>
    <row r="30" spans="1:4">
      <c r="A30" s="20">
        <v>43500</v>
      </c>
      <c r="B30" s="24">
        <v>5000</v>
      </c>
      <c r="D30" s="43" t="s">
        <v>220</v>
      </c>
    </row>
    <row r="31" spans="1:4">
      <c r="C31" s="33">
        <v>6000</v>
      </c>
      <c r="D31" s="43" t="s">
        <v>221</v>
      </c>
    </row>
    <row r="32" spans="1:4">
      <c r="C32" s="33">
        <v>7300</v>
      </c>
      <c r="D32" s="43" t="s">
        <v>222</v>
      </c>
    </row>
    <row r="33" spans="1:4">
      <c r="B33" s="24">
        <v>5000</v>
      </c>
      <c r="D33" s="43" t="s">
        <v>223</v>
      </c>
    </row>
    <row r="34" spans="1:4">
      <c r="A34" s="20">
        <v>43502</v>
      </c>
      <c r="B34" s="24">
        <v>20000</v>
      </c>
      <c r="D34" s="43" t="s">
        <v>224</v>
      </c>
    </row>
    <row r="35" spans="1:4">
      <c r="C35" s="33">
        <v>5300</v>
      </c>
      <c r="D35" s="43" t="s">
        <v>225</v>
      </c>
    </row>
    <row r="36" spans="1:4">
      <c r="C36" s="33">
        <v>1000</v>
      </c>
      <c r="D36" s="43" t="s">
        <v>226</v>
      </c>
    </row>
    <row r="37" spans="1:4">
      <c r="A37" s="20">
        <v>43506</v>
      </c>
      <c r="C37" s="33">
        <v>900</v>
      </c>
      <c r="D37" s="43" t="s">
        <v>227</v>
      </c>
    </row>
    <row r="38" spans="1:4">
      <c r="C38" s="33">
        <v>300</v>
      </c>
      <c r="D38" s="43" t="s">
        <v>228</v>
      </c>
    </row>
    <row r="39" spans="1:4">
      <c r="C39" s="33">
        <v>430</v>
      </c>
      <c r="D39" s="43" t="s">
        <v>229</v>
      </c>
    </row>
    <row r="40" spans="1:4">
      <c r="A40" s="20">
        <v>43507</v>
      </c>
      <c r="C40" s="33">
        <v>2250</v>
      </c>
      <c r="D40" s="43" t="s">
        <v>230</v>
      </c>
    </row>
    <row r="41" spans="1:4">
      <c r="A41" s="20">
        <v>43509</v>
      </c>
      <c r="C41" s="33">
        <v>1600</v>
      </c>
      <c r="D41" s="43" t="s">
        <v>231</v>
      </c>
    </row>
    <row r="42" spans="1:4">
      <c r="C42" s="33">
        <v>13000</v>
      </c>
      <c r="D42" s="43" t="s">
        <v>232</v>
      </c>
    </row>
    <row r="43" spans="1:4">
      <c r="B43" s="24">
        <v>15000</v>
      </c>
      <c r="D43" s="43" t="s">
        <v>237</v>
      </c>
    </row>
    <row r="44" spans="1:4">
      <c r="A44" s="20">
        <v>43510</v>
      </c>
      <c r="C44" s="33">
        <v>2250</v>
      </c>
      <c r="D44" s="43" t="s">
        <v>233</v>
      </c>
    </row>
    <row r="45" spans="1:4">
      <c r="B45" s="24">
        <v>20000</v>
      </c>
      <c r="D45" s="43" t="s">
        <v>234</v>
      </c>
    </row>
    <row r="46" spans="1:4">
      <c r="C46" s="33">
        <v>1200</v>
      </c>
      <c r="D46" s="43" t="s">
        <v>235</v>
      </c>
    </row>
    <row r="47" spans="1:4">
      <c r="A47" s="20">
        <v>43511</v>
      </c>
      <c r="B47" s="24">
        <v>10000</v>
      </c>
      <c r="D47" s="43" t="s">
        <v>236</v>
      </c>
    </row>
    <row r="48" spans="1:4">
      <c r="C48" s="33">
        <v>3000</v>
      </c>
      <c r="D48" s="43" t="s">
        <v>238</v>
      </c>
    </row>
    <row r="49" spans="1:4">
      <c r="A49" s="20">
        <v>43512</v>
      </c>
      <c r="B49" s="24">
        <v>15000</v>
      </c>
      <c r="D49" s="43" t="s">
        <v>239</v>
      </c>
    </row>
    <row r="50" spans="1:4">
      <c r="B50" s="24">
        <v>2500</v>
      </c>
      <c r="D50" s="43" t="s">
        <v>240</v>
      </c>
    </row>
    <row r="51" spans="1:4">
      <c r="A51" s="20">
        <v>43513</v>
      </c>
      <c r="C51" s="33">
        <v>2240</v>
      </c>
      <c r="D51" s="43" t="s">
        <v>241</v>
      </c>
    </row>
    <row r="52" spans="1:4">
      <c r="A52" s="20">
        <v>43515</v>
      </c>
      <c r="C52" s="33">
        <v>370</v>
      </c>
      <c r="D52" s="43" t="s">
        <v>242</v>
      </c>
    </row>
    <row r="53" spans="1:4">
      <c r="A53" s="20">
        <v>43516</v>
      </c>
      <c r="B53" s="24">
        <v>17500</v>
      </c>
      <c r="D53" s="43" t="s">
        <v>243</v>
      </c>
    </row>
    <row r="54" spans="1:4">
      <c r="B54" s="24">
        <v>13000</v>
      </c>
      <c r="D54" s="43" t="s">
        <v>244</v>
      </c>
    </row>
    <row r="55" spans="1:4">
      <c r="A55" s="20">
        <v>43517</v>
      </c>
      <c r="B55" s="24">
        <v>11890</v>
      </c>
      <c r="D55" s="43" t="s">
        <v>245</v>
      </c>
    </row>
    <row r="56" spans="1:4">
      <c r="C56" s="33">
        <v>832</v>
      </c>
      <c r="D56" s="43" t="s">
        <v>246</v>
      </c>
    </row>
    <row r="57" spans="1:4">
      <c r="C57" s="33">
        <v>5000</v>
      </c>
      <c r="D57" s="43" t="s">
        <v>247</v>
      </c>
    </row>
    <row r="58" spans="1:4">
      <c r="B58" s="24">
        <v>2000</v>
      </c>
      <c r="D58" s="43" t="s">
        <v>248</v>
      </c>
    </row>
    <row r="59" spans="1:4">
      <c r="A59" s="20">
        <v>43520</v>
      </c>
      <c r="B59" s="24">
        <v>2000</v>
      </c>
      <c r="D59" s="43" t="s">
        <v>249</v>
      </c>
    </row>
    <row r="60" spans="1:4">
      <c r="B60" s="24">
        <v>5000</v>
      </c>
      <c r="D60" s="43" t="s">
        <v>250</v>
      </c>
    </row>
    <row r="61" spans="1:4">
      <c r="C61" s="33">
        <v>2000</v>
      </c>
      <c r="D61" s="43" t="s">
        <v>251</v>
      </c>
    </row>
    <row r="62" spans="1:4">
      <c r="B62" s="24">
        <v>10000</v>
      </c>
      <c r="D62" s="43" t="s">
        <v>252</v>
      </c>
    </row>
    <row r="63" spans="1:4">
      <c r="B63" s="24">
        <v>1500</v>
      </c>
      <c r="D63" s="43" t="s">
        <v>253</v>
      </c>
    </row>
    <row r="64" spans="1:4">
      <c r="A64" s="20">
        <v>43522</v>
      </c>
      <c r="B64" s="24">
        <v>7500</v>
      </c>
      <c r="D64" s="43" t="s">
        <v>254</v>
      </c>
    </row>
    <row r="65" spans="1:4">
      <c r="A65" s="20">
        <v>43523</v>
      </c>
      <c r="C65" s="33">
        <v>2660</v>
      </c>
      <c r="D65" s="43" t="s">
        <v>255</v>
      </c>
    </row>
    <row r="66" spans="1:4">
      <c r="B66" s="24">
        <v>2500</v>
      </c>
      <c r="D66" s="43" t="s">
        <v>256</v>
      </c>
    </row>
    <row r="67" spans="1:4">
      <c r="A67" s="20">
        <v>43524</v>
      </c>
      <c r="C67" s="33">
        <v>6000</v>
      </c>
      <c r="D67" s="43" t="s">
        <v>221</v>
      </c>
    </row>
    <row r="68" spans="1:4">
      <c r="A68" s="20">
        <v>43525</v>
      </c>
      <c r="B68" s="24">
        <v>5000</v>
      </c>
      <c r="D68" s="43" t="s">
        <v>257</v>
      </c>
    </row>
    <row r="69" spans="1:4">
      <c r="A69" s="20">
        <v>43526</v>
      </c>
      <c r="B69" s="24">
        <v>1000</v>
      </c>
      <c r="D69" s="43" t="s">
        <v>258</v>
      </c>
    </row>
    <row r="70" spans="1:4">
      <c r="A70" s="20">
        <v>43527</v>
      </c>
      <c r="C70" s="33">
        <v>1282</v>
      </c>
      <c r="D70" s="43" t="s">
        <v>259</v>
      </c>
    </row>
    <row r="71" spans="1:4">
      <c r="B71" s="24">
        <v>60000</v>
      </c>
      <c r="D71" s="43" t="s">
        <v>260</v>
      </c>
    </row>
    <row r="72" spans="1:4">
      <c r="C72" s="33">
        <v>4200</v>
      </c>
      <c r="D72" s="43" t="s">
        <v>261</v>
      </c>
    </row>
    <row r="73" spans="1:4">
      <c r="C73" s="33">
        <v>18600</v>
      </c>
      <c r="D73" s="43" t="s">
        <v>262</v>
      </c>
    </row>
    <row r="74" spans="1:4">
      <c r="B74" s="24">
        <v>2500</v>
      </c>
      <c r="D74" s="43" t="s">
        <v>263</v>
      </c>
    </row>
    <row r="75" spans="1:4">
      <c r="A75" s="20">
        <v>43529</v>
      </c>
      <c r="C75" s="33">
        <v>5500</v>
      </c>
      <c r="D75" s="43" t="s">
        <v>264</v>
      </c>
    </row>
    <row r="76" spans="1:4">
      <c r="A76" s="20">
        <v>43530</v>
      </c>
      <c r="C76" s="33">
        <v>750</v>
      </c>
      <c r="D76" s="43" t="s">
        <v>265</v>
      </c>
    </row>
    <row r="77" spans="1:4">
      <c r="C77" s="33">
        <v>900</v>
      </c>
      <c r="D77" s="43" t="s">
        <v>265</v>
      </c>
    </row>
    <row r="78" spans="1:4">
      <c r="A78" s="20">
        <v>43531</v>
      </c>
      <c r="B78" s="24">
        <v>20000</v>
      </c>
      <c r="D78" s="43" t="s">
        <v>267</v>
      </c>
    </row>
    <row r="79" spans="1:4">
      <c r="C79" s="33">
        <v>1000</v>
      </c>
      <c r="D79" s="43" t="s">
        <v>266</v>
      </c>
    </row>
    <row r="80" spans="1:4">
      <c r="C80" s="33">
        <v>5000</v>
      </c>
      <c r="D80" s="43" t="s">
        <v>268</v>
      </c>
    </row>
    <row r="81" spans="1:4">
      <c r="C81" s="33">
        <v>348</v>
      </c>
      <c r="D81" s="43" t="s">
        <v>269</v>
      </c>
    </row>
    <row r="82" spans="1:4">
      <c r="C82" s="33">
        <v>1100</v>
      </c>
      <c r="D82" s="43" t="s">
        <v>270</v>
      </c>
    </row>
    <row r="83" spans="1:4">
      <c r="A83" s="20">
        <v>43533</v>
      </c>
      <c r="C83" s="33">
        <v>1700</v>
      </c>
      <c r="D83" s="43" t="s">
        <v>271</v>
      </c>
    </row>
    <row r="84" spans="1:4">
      <c r="A84" s="20">
        <v>43537</v>
      </c>
      <c r="B84" s="24">
        <v>22500</v>
      </c>
      <c r="D84" s="43" t="s">
        <v>275</v>
      </c>
    </row>
    <row r="85" spans="1:4">
      <c r="C85" s="33">
        <v>2000</v>
      </c>
      <c r="D85" s="43" t="s">
        <v>276</v>
      </c>
    </row>
    <row r="86" spans="1:4">
      <c r="C86" s="33">
        <v>5000</v>
      </c>
      <c r="D86" s="43" t="s">
        <v>277</v>
      </c>
    </row>
    <row r="87" spans="1:4">
      <c r="C87" s="33">
        <v>1500</v>
      </c>
      <c r="D87" s="43" t="s">
        <v>278</v>
      </c>
    </row>
    <row r="88" spans="1:4">
      <c r="A88" s="20">
        <v>43539</v>
      </c>
      <c r="B88" s="24">
        <v>7000</v>
      </c>
      <c r="D88" s="43" t="s">
        <v>279</v>
      </c>
    </row>
    <row r="89" spans="1:4">
      <c r="C89" s="33">
        <v>1000</v>
      </c>
      <c r="D89" s="43" t="s">
        <v>281</v>
      </c>
    </row>
    <row r="90" spans="1:4">
      <c r="C90" s="33">
        <v>8700</v>
      </c>
      <c r="D90" s="43" t="s">
        <v>284</v>
      </c>
    </row>
    <row r="91" spans="1:4">
      <c r="A91" s="20">
        <v>43540</v>
      </c>
      <c r="C91" s="33">
        <v>1500</v>
      </c>
      <c r="D91" s="43" t="s">
        <v>280</v>
      </c>
    </row>
    <row r="92" spans="1:4">
      <c r="A92" s="20">
        <v>43542</v>
      </c>
      <c r="C92" s="33">
        <v>3287</v>
      </c>
      <c r="D92" s="43" t="s">
        <v>282</v>
      </c>
    </row>
    <row r="93" spans="1:4">
      <c r="C93" s="33">
        <v>9600</v>
      </c>
      <c r="D93" s="43" t="s">
        <v>283</v>
      </c>
    </row>
    <row r="94" spans="1:4">
      <c r="A94" s="20">
        <v>43544</v>
      </c>
      <c r="B94" s="24">
        <v>5000</v>
      </c>
      <c r="D94" s="43" t="s">
        <v>285</v>
      </c>
    </row>
    <row r="95" spans="1:4">
      <c r="A95" s="20">
        <v>43545</v>
      </c>
      <c r="B95" s="24">
        <v>3500</v>
      </c>
      <c r="D95" s="43" t="s">
        <v>286</v>
      </c>
    </row>
    <row r="96" spans="1:4">
      <c r="C96" s="33">
        <v>11000</v>
      </c>
      <c r="D96" s="43" t="s">
        <v>287</v>
      </c>
    </row>
    <row r="97" spans="1:4">
      <c r="C97" s="33">
        <v>1600</v>
      </c>
      <c r="D97" s="43" t="s">
        <v>288</v>
      </c>
    </row>
    <row r="98" spans="1:4">
      <c r="A98" s="20">
        <v>43547</v>
      </c>
      <c r="C98" s="33">
        <v>460</v>
      </c>
      <c r="D98" s="43" t="s">
        <v>289</v>
      </c>
    </row>
    <row r="99" spans="1:4">
      <c r="C99" s="33">
        <v>13600</v>
      </c>
      <c r="D99" s="43" t="s">
        <v>290</v>
      </c>
    </row>
    <row r="100" spans="1:4">
      <c r="C100" s="33">
        <v>5000</v>
      </c>
      <c r="D100" s="43" t="s">
        <v>291</v>
      </c>
    </row>
    <row r="101" spans="1:4">
      <c r="C101" s="33">
        <v>2800</v>
      </c>
      <c r="D101" s="43" t="s">
        <v>292</v>
      </c>
    </row>
    <row r="102" spans="1:4">
      <c r="C102" s="33">
        <v>280</v>
      </c>
      <c r="D102" s="43" t="s">
        <v>293</v>
      </c>
    </row>
    <row r="103" spans="1:4">
      <c r="C103" s="33">
        <v>1400</v>
      </c>
      <c r="D103" s="43" t="s">
        <v>294</v>
      </c>
    </row>
    <row r="104" spans="1:4">
      <c r="B104" s="24">
        <v>5000</v>
      </c>
      <c r="D104" s="43" t="s">
        <v>295</v>
      </c>
    </row>
    <row r="105" spans="1:4">
      <c r="B105" s="24">
        <v>6000</v>
      </c>
      <c r="D105" s="43" t="s">
        <v>296</v>
      </c>
    </row>
    <row r="106" spans="1:4">
      <c r="B106" s="24">
        <v>90000</v>
      </c>
      <c r="D106" s="43" t="s">
        <v>297</v>
      </c>
    </row>
    <row r="107" spans="1:4">
      <c r="A107" s="20">
        <v>43550</v>
      </c>
      <c r="C107" s="33">
        <v>2250</v>
      </c>
      <c r="D107" s="43" t="s">
        <v>298</v>
      </c>
    </row>
    <row r="108" spans="1:4">
      <c r="C108" s="33">
        <v>1400</v>
      </c>
      <c r="D108" s="43" t="s">
        <v>299</v>
      </c>
    </row>
    <row r="109" spans="1:4">
      <c r="A109" s="20">
        <v>43552</v>
      </c>
      <c r="C109" s="33">
        <v>2568</v>
      </c>
      <c r="D109" s="43" t="s">
        <v>299</v>
      </c>
    </row>
    <row r="110" spans="1:4">
      <c r="A110" s="20">
        <v>43554</v>
      </c>
      <c r="C110" s="33">
        <v>4800</v>
      </c>
      <c r="D110" s="43" t="s">
        <v>300</v>
      </c>
    </row>
    <row r="111" spans="1:4">
      <c r="A111" s="20">
        <v>43556</v>
      </c>
      <c r="B111" s="24">
        <v>30000</v>
      </c>
      <c r="D111" s="43" t="s">
        <v>301</v>
      </c>
    </row>
    <row r="112" spans="1:4">
      <c r="C112" s="33">
        <v>31000</v>
      </c>
      <c r="D112" s="43" t="s">
        <v>302</v>
      </c>
    </row>
    <row r="113" spans="1:5">
      <c r="A113" s="20">
        <v>43558</v>
      </c>
      <c r="C113" s="33">
        <v>300</v>
      </c>
      <c r="D113" s="43" t="s">
        <v>303</v>
      </c>
    </row>
    <row r="114" spans="1:5">
      <c r="B114" s="24">
        <v>10700</v>
      </c>
      <c r="D114" s="43" t="s">
        <v>304</v>
      </c>
    </row>
    <row r="115" spans="1:5">
      <c r="B115" s="24">
        <v>8200</v>
      </c>
      <c r="D115" s="43" t="s">
        <v>305</v>
      </c>
    </row>
    <row r="116" spans="1:5">
      <c r="A116" s="20">
        <v>43562</v>
      </c>
      <c r="C116" s="33">
        <v>6000</v>
      </c>
      <c r="D116" s="43" t="s">
        <v>306</v>
      </c>
    </row>
    <row r="117" spans="1:5">
      <c r="C117" s="33">
        <v>6100</v>
      </c>
      <c r="D117" s="43" t="s">
        <v>307</v>
      </c>
    </row>
    <row r="118" spans="1:5">
      <c r="C118" s="33">
        <v>6000</v>
      </c>
      <c r="D118" s="43" t="s">
        <v>314</v>
      </c>
    </row>
    <row r="119" spans="1:5" s="68" customFormat="1">
      <c r="A119" s="63">
        <v>43563</v>
      </c>
      <c r="B119" s="64">
        <v>1200</v>
      </c>
      <c r="C119" s="65"/>
      <c r="D119" s="66" t="s">
        <v>308</v>
      </c>
      <c r="E119" s="67"/>
    </row>
    <row r="120" spans="1:5" s="68" customFormat="1">
      <c r="A120" s="63"/>
      <c r="B120" s="64"/>
      <c r="C120" s="65">
        <v>2540</v>
      </c>
      <c r="D120" s="66" t="s">
        <v>309</v>
      </c>
      <c r="E120" s="67"/>
    </row>
    <row r="121" spans="1:5">
      <c r="A121" s="20">
        <v>43564</v>
      </c>
      <c r="C121" s="33">
        <v>1000</v>
      </c>
      <c r="D121" s="43" t="s">
        <v>310</v>
      </c>
    </row>
    <row r="122" spans="1:5">
      <c r="A122" s="20">
        <v>43567</v>
      </c>
      <c r="C122" s="33">
        <v>8500</v>
      </c>
      <c r="D122" s="43" t="s">
        <v>311</v>
      </c>
    </row>
    <row r="123" spans="1:5">
      <c r="B123" s="24">
        <v>5000</v>
      </c>
      <c r="D123" s="43" t="s">
        <v>312</v>
      </c>
    </row>
    <row r="124" spans="1:5">
      <c r="A124" s="20">
        <v>43570</v>
      </c>
      <c r="B124" s="24">
        <v>76350</v>
      </c>
      <c r="D124" s="43" t="s">
        <v>315</v>
      </c>
    </row>
    <row r="125" spans="1:5">
      <c r="C125" s="33">
        <v>3000</v>
      </c>
      <c r="D125" s="43" t="s">
        <v>313</v>
      </c>
    </row>
    <row r="126" spans="1:5">
      <c r="A126" s="20">
        <v>43571</v>
      </c>
      <c r="C126" s="33">
        <v>26000</v>
      </c>
      <c r="D126" s="43" t="s">
        <v>316</v>
      </c>
    </row>
    <row r="127" spans="1:5">
      <c r="C127" s="33">
        <v>4300</v>
      </c>
      <c r="D127" s="43" t="s">
        <v>317</v>
      </c>
    </row>
    <row r="128" spans="1:5">
      <c r="A128" s="20">
        <v>43575</v>
      </c>
      <c r="B128" s="24">
        <v>10000</v>
      </c>
      <c r="D128" s="43" t="s">
        <v>318</v>
      </c>
    </row>
    <row r="129" spans="1:4">
      <c r="B129" s="24">
        <v>25000</v>
      </c>
      <c r="D129" s="43" t="s">
        <v>319</v>
      </c>
    </row>
    <row r="130" spans="1:4">
      <c r="C130" s="33">
        <v>4550</v>
      </c>
      <c r="D130" s="43" t="s">
        <v>320</v>
      </c>
    </row>
    <row r="131" spans="1:4">
      <c r="C131" s="33">
        <v>1550</v>
      </c>
      <c r="D131" s="43" t="s">
        <v>133</v>
      </c>
    </row>
    <row r="132" spans="1:4">
      <c r="C132" s="33">
        <v>4880</v>
      </c>
      <c r="D132" s="43" t="s">
        <v>321</v>
      </c>
    </row>
    <row r="133" spans="1:4">
      <c r="B133" s="24">
        <v>3000</v>
      </c>
      <c r="D133" s="43" t="s">
        <v>329</v>
      </c>
    </row>
    <row r="134" spans="1:4">
      <c r="A134" s="20">
        <v>43578</v>
      </c>
      <c r="C134" s="33">
        <v>3648</v>
      </c>
      <c r="D134" s="43" t="s">
        <v>322</v>
      </c>
    </row>
    <row r="135" spans="1:4">
      <c r="C135" s="33">
        <v>118350</v>
      </c>
      <c r="D135" s="43" t="s">
        <v>323</v>
      </c>
    </row>
    <row r="136" spans="1:4">
      <c r="B136" s="24">
        <v>18190</v>
      </c>
      <c r="D136" s="43" t="s">
        <v>324</v>
      </c>
    </row>
    <row r="137" spans="1:4">
      <c r="A137" s="20">
        <v>43579</v>
      </c>
      <c r="B137" s="24">
        <v>14503</v>
      </c>
      <c r="D137" s="43" t="s">
        <v>325</v>
      </c>
    </row>
    <row r="138" spans="1:4">
      <c r="C138" s="33">
        <v>4000</v>
      </c>
      <c r="D138" s="43" t="s">
        <v>326</v>
      </c>
    </row>
    <row r="139" spans="1:4">
      <c r="A139" s="20">
        <v>43585</v>
      </c>
      <c r="C139" s="33">
        <v>12000</v>
      </c>
      <c r="D139" s="43" t="s">
        <v>327</v>
      </c>
    </row>
    <row r="140" spans="1:4">
      <c r="C140" s="33">
        <v>5000</v>
      </c>
      <c r="D140" s="43" t="s">
        <v>328</v>
      </c>
    </row>
    <row r="141" spans="1:4">
      <c r="A141" s="20">
        <v>43588</v>
      </c>
      <c r="C141" s="33">
        <v>1600</v>
      </c>
      <c r="D141" s="43" t="s">
        <v>330</v>
      </c>
    </row>
    <row r="142" spans="1:4">
      <c r="A142" s="20">
        <v>43598</v>
      </c>
      <c r="B142" s="24">
        <v>24600</v>
      </c>
      <c r="D142" s="43" t="s">
        <v>331</v>
      </c>
    </row>
    <row r="143" spans="1:4">
      <c r="B143" s="24">
        <v>5350</v>
      </c>
      <c r="D143" s="43" t="s">
        <v>332</v>
      </c>
    </row>
    <row r="144" spans="1:4">
      <c r="B144" s="24">
        <v>19260</v>
      </c>
      <c r="D144" s="43" t="s">
        <v>333</v>
      </c>
    </row>
    <row r="145" spans="1:4">
      <c r="C145" s="33">
        <v>3444</v>
      </c>
      <c r="D145" s="43" t="s">
        <v>334</v>
      </c>
    </row>
    <row r="146" spans="1:4">
      <c r="A146" s="20">
        <v>43600</v>
      </c>
      <c r="C146" s="33">
        <v>2500</v>
      </c>
      <c r="D146" s="43" t="s">
        <v>335</v>
      </c>
    </row>
    <row r="147" spans="1:4">
      <c r="C147" s="33">
        <v>2800</v>
      </c>
      <c r="D147" s="43" t="s">
        <v>336</v>
      </c>
    </row>
    <row r="148" spans="1:4">
      <c r="C148" s="33">
        <v>3000</v>
      </c>
      <c r="D148" s="43" t="s">
        <v>337</v>
      </c>
    </row>
    <row r="149" spans="1:4">
      <c r="C149" s="33">
        <v>750</v>
      </c>
      <c r="D149" s="43" t="s">
        <v>338</v>
      </c>
    </row>
    <row r="150" spans="1:4">
      <c r="A150" s="20">
        <v>43607</v>
      </c>
      <c r="B150" s="24">
        <v>10240</v>
      </c>
      <c r="D150" s="43" t="s">
        <v>339</v>
      </c>
    </row>
    <row r="151" spans="1:4">
      <c r="C151" s="33">
        <v>5900</v>
      </c>
      <c r="D151" s="43" t="s">
        <v>340</v>
      </c>
    </row>
    <row r="152" spans="1:4">
      <c r="C152" s="33">
        <v>1250</v>
      </c>
      <c r="D152" s="43" t="s">
        <v>341</v>
      </c>
    </row>
    <row r="153" spans="1:4">
      <c r="C153" s="33">
        <v>1400</v>
      </c>
      <c r="D153" s="43" t="s">
        <v>284</v>
      </c>
    </row>
    <row r="154" spans="1:4">
      <c r="C154" s="33">
        <v>750</v>
      </c>
      <c r="D154" s="43" t="s">
        <v>342</v>
      </c>
    </row>
    <row r="155" spans="1:4">
      <c r="C155" s="33">
        <v>10000</v>
      </c>
      <c r="D155" s="43" t="s">
        <v>343</v>
      </c>
    </row>
    <row r="156" spans="1:4">
      <c r="C156" s="33">
        <v>300</v>
      </c>
      <c r="D156" s="43" t="s">
        <v>344</v>
      </c>
    </row>
    <row r="157" spans="1:4">
      <c r="B157" s="24">
        <v>390000</v>
      </c>
      <c r="D157" s="43" t="s">
        <v>345</v>
      </c>
    </row>
    <row r="158" spans="1:4">
      <c r="A158" s="20">
        <v>43608</v>
      </c>
      <c r="C158" s="33">
        <v>2000</v>
      </c>
      <c r="D158" s="43" t="s">
        <v>346</v>
      </c>
    </row>
    <row r="159" spans="1:4">
      <c r="A159" s="20">
        <v>43609</v>
      </c>
      <c r="C159" s="33">
        <v>7200</v>
      </c>
      <c r="D159" s="43" t="s">
        <v>347</v>
      </c>
    </row>
    <row r="160" spans="1:4">
      <c r="C160" s="33">
        <v>1200</v>
      </c>
      <c r="D160" s="43" t="s">
        <v>348</v>
      </c>
    </row>
    <row r="161" spans="1:4">
      <c r="C161" s="33">
        <v>400</v>
      </c>
      <c r="D161" s="43" t="s">
        <v>349</v>
      </c>
    </row>
    <row r="162" spans="1:4">
      <c r="C162" s="33">
        <v>47500</v>
      </c>
      <c r="D162" s="43" t="s">
        <v>350</v>
      </c>
    </row>
    <row r="163" spans="1:4">
      <c r="C163" s="33">
        <v>8000</v>
      </c>
      <c r="D163" s="43" t="s">
        <v>351</v>
      </c>
    </row>
    <row r="164" spans="1:4">
      <c r="A164" s="20">
        <v>43611</v>
      </c>
      <c r="C164" s="33">
        <v>10000</v>
      </c>
      <c r="D164" s="43" t="s">
        <v>352</v>
      </c>
    </row>
    <row r="165" spans="1:4">
      <c r="A165" s="20">
        <v>43612</v>
      </c>
      <c r="C165" s="33">
        <v>25000</v>
      </c>
      <c r="D165" s="43" t="s">
        <v>353</v>
      </c>
    </row>
    <row r="166" spans="1:4">
      <c r="A166" s="20">
        <v>43618</v>
      </c>
      <c r="C166" s="33">
        <v>1700</v>
      </c>
      <c r="D166" s="43" t="s">
        <v>354</v>
      </c>
    </row>
    <row r="167" spans="1:4">
      <c r="A167" s="20">
        <v>43619</v>
      </c>
      <c r="C167" s="33">
        <v>40000</v>
      </c>
      <c r="D167" s="43" t="s">
        <v>355</v>
      </c>
    </row>
    <row r="168" spans="1:4">
      <c r="C168" s="33">
        <v>23400</v>
      </c>
      <c r="D168" s="43" t="s">
        <v>356</v>
      </c>
    </row>
    <row r="169" spans="1:4">
      <c r="C169" s="33">
        <v>10000</v>
      </c>
      <c r="D169" s="43" t="s">
        <v>357</v>
      </c>
    </row>
    <row r="170" spans="1:4">
      <c r="A170" s="20">
        <v>43621</v>
      </c>
      <c r="C170" s="33">
        <v>10000</v>
      </c>
      <c r="D170" s="43" t="s">
        <v>358</v>
      </c>
    </row>
    <row r="171" spans="1:4">
      <c r="A171" s="20">
        <v>43623</v>
      </c>
      <c r="C171" s="33">
        <v>20000</v>
      </c>
      <c r="D171" s="43" t="s">
        <v>359</v>
      </c>
    </row>
    <row r="172" spans="1:4">
      <c r="C172" s="33">
        <v>7000</v>
      </c>
      <c r="D172" s="43" t="s">
        <v>360</v>
      </c>
    </row>
    <row r="173" spans="1:4">
      <c r="C173" s="33">
        <v>7000</v>
      </c>
      <c r="D173" s="43" t="s">
        <v>361</v>
      </c>
    </row>
    <row r="174" spans="1:4">
      <c r="C174" s="33">
        <v>13000</v>
      </c>
      <c r="D174" s="43" t="s">
        <v>362</v>
      </c>
    </row>
    <row r="175" spans="1:4">
      <c r="A175" s="20">
        <v>43626</v>
      </c>
      <c r="C175" s="33">
        <v>5000</v>
      </c>
      <c r="D175" s="43" t="s">
        <v>363</v>
      </c>
    </row>
    <row r="176" spans="1:4">
      <c r="C176" s="33">
        <v>19000</v>
      </c>
      <c r="D176" s="43" t="s">
        <v>364</v>
      </c>
    </row>
    <row r="177" spans="1:4">
      <c r="C177" s="33">
        <v>2250</v>
      </c>
      <c r="D177" s="43" t="s">
        <v>365</v>
      </c>
    </row>
    <row r="178" spans="1:4">
      <c r="C178" s="33">
        <v>7500</v>
      </c>
      <c r="D178" s="43" t="s">
        <v>366</v>
      </c>
    </row>
    <row r="179" spans="1:4">
      <c r="A179" s="20">
        <v>43628</v>
      </c>
      <c r="C179" s="33">
        <v>15000</v>
      </c>
      <c r="D179" s="43" t="s">
        <v>367</v>
      </c>
    </row>
    <row r="180" spans="1:4">
      <c r="C180" s="33">
        <v>700</v>
      </c>
      <c r="D180" s="43" t="s">
        <v>368</v>
      </c>
    </row>
    <row r="181" spans="1:4">
      <c r="C181" s="33">
        <v>11000</v>
      </c>
      <c r="D181" s="43" t="s">
        <v>369</v>
      </c>
    </row>
    <row r="182" spans="1:4">
      <c r="C182" s="33">
        <v>20000</v>
      </c>
      <c r="D182" s="43" t="s">
        <v>370</v>
      </c>
    </row>
    <row r="183" spans="1:4">
      <c r="C183" s="33">
        <v>5000</v>
      </c>
      <c r="D183" s="43" t="s">
        <v>371</v>
      </c>
    </row>
    <row r="184" spans="1:4">
      <c r="C184" s="33">
        <v>13000</v>
      </c>
      <c r="D184" s="43" t="s">
        <v>367</v>
      </c>
    </row>
    <row r="185" spans="1:4">
      <c r="A185" s="20">
        <v>43629</v>
      </c>
      <c r="B185" s="24">
        <v>60000</v>
      </c>
      <c r="D185" s="43" t="s">
        <v>372</v>
      </c>
    </row>
    <row r="186" spans="1:4">
      <c r="C186" s="33">
        <v>12000</v>
      </c>
      <c r="D186" s="43" t="s">
        <v>373</v>
      </c>
    </row>
    <row r="187" spans="1:4">
      <c r="A187" s="20">
        <v>43632</v>
      </c>
      <c r="C187" s="33">
        <v>1700</v>
      </c>
      <c r="D187" s="43" t="s">
        <v>374</v>
      </c>
    </row>
    <row r="188" spans="1:4">
      <c r="C188" s="33">
        <v>500</v>
      </c>
      <c r="D188" s="43" t="s">
        <v>375</v>
      </c>
    </row>
    <row r="189" spans="1:4">
      <c r="C189" s="33">
        <v>8000</v>
      </c>
      <c r="D189" s="43" t="s">
        <v>376</v>
      </c>
    </row>
    <row r="190" spans="1:4">
      <c r="C190" s="33">
        <v>1572</v>
      </c>
      <c r="D190" s="43" t="s">
        <v>377</v>
      </c>
    </row>
    <row r="191" spans="1:4">
      <c r="A191" s="20">
        <v>43634</v>
      </c>
      <c r="C191" s="33">
        <v>2500</v>
      </c>
      <c r="D191" s="43" t="s">
        <v>378</v>
      </c>
    </row>
    <row r="192" spans="1:4">
      <c r="A192" s="20">
        <v>43636</v>
      </c>
      <c r="C192" s="33">
        <v>7668</v>
      </c>
      <c r="D192" s="43" t="s">
        <v>379</v>
      </c>
    </row>
    <row r="193" spans="1:4">
      <c r="A193" s="20">
        <v>43637</v>
      </c>
      <c r="C193" s="33">
        <v>10000</v>
      </c>
      <c r="D193" s="43" t="s">
        <v>380</v>
      </c>
    </row>
    <row r="194" spans="1:4">
      <c r="C194" s="33">
        <v>2250</v>
      </c>
      <c r="D194" s="43" t="s">
        <v>381</v>
      </c>
    </row>
    <row r="195" spans="1:4">
      <c r="A195" s="20">
        <v>43638</v>
      </c>
      <c r="C195" s="33">
        <v>14750</v>
      </c>
      <c r="D195" s="43" t="s">
        <v>382</v>
      </c>
    </row>
    <row r="196" spans="1:4">
      <c r="B196" s="24">
        <v>495000</v>
      </c>
      <c r="D196" s="43" t="s">
        <v>383</v>
      </c>
    </row>
    <row r="197" spans="1:4">
      <c r="C197" s="33">
        <v>2500</v>
      </c>
      <c r="D197" s="43" t="s">
        <v>378</v>
      </c>
    </row>
    <row r="198" spans="1:4">
      <c r="A198" s="20">
        <v>43640</v>
      </c>
      <c r="C198" s="33">
        <v>4000</v>
      </c>
      <c r="D198" s="43" t="s">
        <v>384</v>
      </c>
    </row>
    <row r="199" spans="1:4">
      <c r="C199" s="33">
        <v>1812</v>
      </c>
      <c r="D199" s="43" t="s">
        <v>385</v>
      </c>
    </row>
    <row r="200" spans="1:4">
      <c r="C200" s="33">
        <v>7623</v>
      </c>
      <c r="D200" s="43" t="s">
        <v>386</v>
      </c>
    </row>
    <row r="201" spans="1:4">
      <c r="A201" s="20">
        <v>43642</v>
      </c>
      <c r="B201" s="24">
        <v>2000</v>
      </c>
      <c r="D201" s="43" t="s">
        <v>387</v>
      </c>
    </row>
    <row r="202" spans="1:4">
      <c r="C202" s="33">
        <v>8000</v>
      </c>
      <c r="D202" s="43" t="s">
        <v>388</v>
      </c>
    </row>
    <row r="203" spans="1:4">
      <c r="A203" s="69"/>
      <c r="B203" s="70">
        <v>15000</v>
      </c>
      <c r="C203" s="71"/>
      <c r="D203" s="72" t="s">
        <v>395</v>
      </c>
    </row>
    <row r="204" spans="1:4">
      <c r="A204" s="69"/>
      <c r="B204" s="70"/>
      <c r="C204" s="71">
        <v>45000</v>
      </c>
      <c r="D204" s="72" t="s">
        <v>396</v>
      </c>
    </row>
    <row r="205" spans="1:4">
      <c r="A205" s="69"/>
      <c r="B205" s="70">
        <v>770</v>
      </c>
      <c r="C205" s="71"/>
      <c r="D205" s="72" t="s">
        <v>397</v>
      </c>
    </row>
    <row r="206" spans="1:4">
      <c r="A206" s="20">
        <v>43643</v>
      </c>
      <c r="B206" s="24">
        <v>30000</v>
      </c>
      <c r="D206" s="43" t="s">
        <v>389</v>
      </c>
    </row>
    <row r="207" spans="1:4">
      <c r="C207" s="33">
        <v>9000</v>
      </c>
      <c r="D207" s="43" t="s">
        <v>390</v>
      </c>
    </row>
    <row r="208" spans="1:4">
      <c r="C208" s="33">
        <v>4000</v>
      </c>
      <c r="D208" s="43" t="s">
        <v>391</v>
      </c>
    </row>
    <row r="209" spans="1:4">
      <c r="A209" s="20">
        <v>43646</v>
      </c>
      <c r="B209" s="24">
        <v>3000</v>
      </c>
      <c r="D209" s="43" t="s">
        <v>392</v>
      </c>
    </row>
    <row r="210" spans="1:4">
      <c r="C210" s="33">
        <v>500</v>
      </c>
      <c r="D210" s="43" t="s">
        <v>393</v>
      </c>
    </row>
    <row r="211" spans="1:4">
      <c r="B211" s="24">
        <v>1000</v>
      </c>
      <c r="D211" s="43" t="s">
        <v>394</v>
      </c>
    </row>
    <row r="212" spans="1:4">
      <c r="A212" s="20">
        <v>43617</v>
      </c>
      <c r="B212" s="24">
        <v>2000</v>
      </c>
      <c r="D212" s="43" t="s">
        <v>398</v>
      </c>
    </row>
    <row r="213" spans="1:4">
      <c r="A213" s="20">
        <v>43618</v>
      </c>
      <c r="C213" s="33">
        <v>2500</v>
      </c>
      <c r="D213" s="43" t="s">
        <v>385</v>
      </c>
    </row>
    <row r="214" spans="1:4">
      <c r="A214"/>
      <c r="B214"/>
      <c r="C214">
        <v>7000</v>
      </c>
      <c r="D214" s="43" t="s">
        <v>399</v>
      </c>
    </row>
    <row r="215" spans="1:4">
      <c r="A215" s="20">
        <v>43650</v>
      </c>
      <c r="B215" s="26"/>
      <c r="C215" s="33">
        <v>1000</v>
      </c>
      <c r="D215" s="43" t="s">
        <v>400</v>
      </c>
    </row>
    <row r="216" spans="1:4">
      <c r="A216" s="20">
        <v>43651</v>
      </c>
      <c r="B216" s="26">
        <v>12000</v>
      </c>
      <c r="D216" s="43" t="s">
        <v>210</v>
      </c>
    </row>
    <row r="217" spans="1:4">
      <c r="B217" s="26"/>
      <c r="C217" s="33">
        <v>7500</v>
      </c>
      <c r="D217" s="43" t="s">
        <v>211</v>
      </c>
    </row>
    <row r="218" spans="1:4">
      <c r="B218" s="26"/>
      <c r="C218" s="33">
        <v>500</v>
      </c>
      <c r="D218" s="43" t="s">
        <v>401</v>
      </c>
    </row>
    <row r="219" spans="1:4">
      <c r="A219" s="20">
        <v>43655</v>
      </c>
      <c r="B219" s="26">
        <v>21400</v>
      </c>
      <c r="D219" s="43" t="s">
        <v>402</v>
      </c>
    </row>
    <row r="220" spans="1:4">
      <c r="A220" s="20">
        <v>43656</v>
      </c>
      <c r="B220" s="26"/>
      <c r="C220" s="33">
        <v>26400</v>
      </c>
      <c r="D220" s="43" t="s">
        <v>403</v>
      </c>
    </row>
    <row r="221" spans="1:4">
      <c r="B221" s="26">
        <v>69375</v>
      </c>
      <c r="D221" s="43" t="s">
        <v>404</v>
      </c>
    </row>
    <row r="222" spans="1:4">
      <c r="B222" s="26"/>
      <c r="C222" s="33">
        <v>15000</v>
      </c>
      <c r="D222" s="43" t="s">
        <v>405</v>
      </c>
    </row>
    <row r="223" spans="1:4">
      <c r="A223" s="20">
        <v>43657</v>
      </c>
      <c r="B223" s="26"/>
      <c r="C223" s="33">
        <v>9000</v>
      </c>
      <c r="D223" s="43" t="s">
        <v>406</v>
      </c>
    </row>
    <row r="224" spans="1:4">
      <c r="A224" s="20">
        <v>43658</v>
      </c>
      <c r="C224" s="33">
        <v>3000</v>
      </c>
      <c r="D224" s="43" t="s">
        <v>407</v>
      </c>
    </row>
    <row r="225" spans="1:5">
      <c r="A225" s="20">
        <v>43660</v>
      </c>
      <c r="C225" s="33">
        <v>15600</v>
      </c>
      <c r="D225" s="43" t="s">
        <v>367</v>
      </c>
    </row>
    <row r="226" spans="1:5">
      <c r="C226" s="33">
        <v>5000</v>
      </c>
      <c r="D226" s="43" t="s">
        <v>408</v>
      </c>
    </row>
    <row r="227" spans="1:5">
      <c r="C227" s="33">
        <v>8000</v>
      </c>
      <c r="D227" s="43" t="s">
        <v>409</v>
      </c>
    </row>
    <row r="228" spans="1:5">
      <c r="A228" s="20">
        <v>43661</v>
      </c>
      <c r="C228" s="33">
        <v>3990</v>
      </c>
      <c r="D228" s="43" t="s">
        <v>356</v>
      </c>
    </row>
    <row r="229" spans="1:5">
      <c r="C229" s="33">
        <v>1000</v>
      </c>
      <c r="D229" s="43" t="s">
        <v>410</v>
      </c>
    </row>
    <row r="230" spans="1:5">
      <c r="A230" s="20">
        <v>43667</v>
      </c>
      <c r="C230" s="33">
        <v>9000</v>
      </c>
      <c r="D230" s="43" t="s">
        <v>411</v>
      </c>
    </row>
    <row r="231" spans="1:5" s="10" customFormat="1">
      <c r="A231" s="21">
        <v>43669</v>
      </c>
      <c r="B231" s="25">
        <v>20000</v>
      </c>
      <c r="C231" s="34"/>
      <c r="D231" s="44" t="s">
        <v>412</v>
      </c>
      <c r="E231" s="9"/>
    </row>
    <row r="232" spans="1:5">
      <c r="A232" s="20">
        <v>43671</v>
      </c>
      <c r="B232" s="24">
        <v>20000</v>
      </c>
      <c r="D232" s="43" t="s">
        <v>413</v>
      </c>
    </row>
    <row r="233" spans="1:5">
      <c r="A233" s="20">
        <v>43672</v>
      </c>
      <c r="C233" s="33">
        <v>14500</v>
      </c>
      <c r="D233" s="43" t="s">
        <v>414</v>
      </c>
    </row>
    <row r="234" spans="1:5">
      <c r="B234" s="24">
        <v>3000</v>
      </c>
      <c r="D234" s="43" t="s">
        <v>415</v>
      </c>
    </row>
    <row r="235" spans="1:5">
      <c r="B235" s="24">
        <v>431850</v>
      </c>
      <c r="D235" s="43" t="s">
        <v>416</v>
      </c>
    </row>
    <row r="236" spans="1:5">
      <c r="B236" s="24">
        <v>92500</v>
      </c>
      <c r="D236" s="43" t="s">
        <v>417</v>
      </c>
    </row>
    <row r="237" spans="1:5">
      <c r="A237" s="20">
        <v>43677</v>
      </c>
      <c r="B237" s="24">
        <v>10000</v>
      </c>
      <c r="D237" s="43" t="s">
        <v>418</v>
      </c>
    </row>
    <row r="238" spans="1:5">
      <c r="B238" s="24">
        <v>10000</v>
      </c>
      <c r="D238" s="43" t="s">
        <v>419</v>
      </c>
    </row>
    <row r="239" spans="1:5">
      <c r="C239" s="33">
        <v>3000</v>
      </c>
      <c r="D239" s="43" t="s">
        <v>420</v>
      </c>
    </row>
    <row r="240" spans="1:5">
      <c r="A240" s="20">
        <v>43678</v>
      </c>
      <c r="C240" s="33">
        <v>4000</v>
      </c>
      <c r="D240" s="43" t="s">
        <v>421</v>
      </c>
    </row>
    <row r="241" spans="1:4">
      <c r="C241" s="33">
        <v>5900</v>
      </c>
      <c r="D241" s="43" t="s">
        <v>422</v>
      </c>
    </row>
    <row r="242" spans="1:4">
      <c r="A242" s="20">
        <v>43679</v>
      </c>
      <c r="B242" s="24">
        <v>3000</v>
      </c>
      <c r="D242" s="43" t="s">
        <v>423</v>
      </c>
    </row>
    <row r="243" spans="1:4">
      <c r="C243" s="33">
        <v>15000</v>
      </c>
      <c r="D243" s="43" t="s">
        <v>424</v>
      </c>
    </row>
    <row r="244" spans="1:4">
      <c r="A244" s="20">
        <v>43682</v>
      </c>
      <c r="C244" s="33">
        <v>5000</v>
      </c>
      <c r="D244" s="43" t="s">
        <v>425</v>
      </c>
    </row>
    <row r="245" spans="1:4">
      <c r="B245" s="24">
        <v>3000</v>
      </c>
      <c r="D245" s="43" t="s">
        <v>426</v>
      </c>
    </row>
    <row r="246" spans="1:4">
      <c r="B246" s="24">
        <v>34000</v>
      </c>
      <c r="D246" s="43" t="s">
        <v>427</v>
      </c>
    </row>
    <row r="247" spans="1:4">
      <c r="C247" s="33">
        <v>1200</v>
      </c>
      <c r="D247" s="43" t="s">
        <v>428</v>
      </c>
    </row>
    <row r="248" spans="1:4">
      <c r="B248" s="24">
        <v>26900</v>
      </c>
      <c r="D248" s="43" t="s">
        <v>429</v>
      </c>
    </row>
    <row r="249" spans="1:4">
      <c r="A249" s="20">
        <v>43684</v>
      </c>
      <c r="C249" s="33">
        <v>5000</v>
      </c>
      <c r="D249" s="43" t="s">
        <v>430</v>
      </c>
    </row>
    <row r="250" spans="1:4">
      <c r="B250" s="24">
        <v>2000</v>
      </c>
      <c r="D250" s="43" t="s">
        <v>431</v>
      </c>
    </row>
    <row r="251" spans="1:4">
      <c r="A251" s="20">
        <v>43686</v>
      </c>
      <c r="B251" s="24">
        <v>4000</v>
      </c>
      <c r="D251" s="43" t="s">
        <v>432</v>
      </c>
    </row>
    <row r="252" spans="1:4">
      <c r="C252" s="33">
        <v>15300</v>
      </c>
      <c r="D252" s="43" t="s">
        <v>433</v>
      </c>
    </row>
    <row r="253" spans="1:4">
      <c r="A253" s="20">
        <v>43687</v>
      </c>
      <c r="C253" s="33">
        <v>3000</v>
      </c>
      <c r="D253" s="43" t="s">
        <v>434</v>
      </c>
    </row>
    <row r="254" spans="1:4">
      <c r="A254" s="20">
        <v>43693</v>
      </c>
      <c r="B254" s="24">
        <v>3000</v>
      </c>
      <c r="D254" s="43" t="s">
        <v>435</v>
      </c>
    </row>
    <row r="255" spans="1:4">
      <c r="C255" s="33">
        <v>2000</v>
      </c>
      <c r="D255" s="43" t="s">
        <v>441</v>
      </c>
    </row>
    <row r="256" spans="1:4">
      <c r="A256" s="20">
        <v>43695</v>
      </c>
      <c r="B256" s="24">
        <v>5000</v>
      </c>
      <c r="D256" s="43" t="s">
        <v>436</v>
      </c>
    </row>
    <row r="257" spans="1:4">
      <c r="C257" s="33">
        <v>2000</v>
      </c>
      <c r="D257" s="43" t="s">
        <v>437</v>
      </c>
    </row>
    <row r="258" spans="1:4">
      <c r="A258" s="20">
        <v>43696</v>
      </c>
      <c r="B258" s="24">
        <v>15000</v>
      </c>
      <c r="D258" s="43" t="s">
        <v>438</v>
      </c>
    </row>
    <row r="259" spans="1:4">
      <c r="C259" s="33">
        <v>5650</v>
      </c>
      <c r="D259" s="43" t="s">
        <v>439</v>
      </c>
    </row>
    <row r="260" spans="1:4">
      <c r="C260" s="33">
        <v>500</v>
      </c>
      <c r="D260" s="43" t="s">
        <v>440</v>
      </c>
    </row>
    <row r="261" spans="1:4">
      <c r="A261" s="20">
        <v>43697</v>
      </c>
      <c r="C261" s="33">
        <v>4000</v>
      </c>
      <c r="D261" s="43" t="s">
        <v>442</v>
      </c>
    </row>
    <row r="262" spans="1:4">
      <c r="A262" s="20">
        <v>43706</v>
      </c>
      <c r="C262" s="33">
        <v>2500</v>
      </c>
      <c r="D262" s="43" t="s">
        <v>443</v>
      </c>
    </row>
    <row r="263" spans="1:4">
      <c r="C263" s="33">
        <v>1000</v>
      </c>
      <c r="D263" s="43" t="s">
        <v>444</v>
      </c>
    </row>
    <row r="264" spans="1:4">
      <c r="B264" s="24">
        <v>9000</v>
      </c>
      <c r="D264" s="43" t="s">
        <v>445</v>
      </c>
    </row>
    <row r="265" spans="1:4">
      <c r="A265" s="20">
        <v>43707</v>
      </c>
      <c r="B265" s="24">
        <v>3000</v>
      </c>
      <c r="D265" s="43" t="s">
        <v>446</v>
      </c>
    </row>
    <row r="266" spans="1:4">
      <c r="A266" s="20">
        <v>43709</v>
      </c>
      <c r="C266" s="33">
        <v>6000</v>
      </c>
      <c r="D266" s="43" t="s">
        <v>447</v>
      </c>
    </row>
    <row r="267" spans="1:4">
      <c r="A267" s="20">
        <v>43710</v>
      </c>
      <c r="B267" s="24">
        <v>5000</v>
      </c>
      <c r="D267" s="43" t="s">
        <v>448</v>
      </c>
    </row>
    <row r="268" spans="1:4">
      <c r="C268" s="33">
        <v>2000</v>
      </c>
      <c r="D268" s="43" t="s">
        <v>449</v>
      </c>
    </row>
    <row r="269" spans="1:4">
      <c r="B269" s="24">
        <v>5000</v>
      </c>
      <c r="D269" s="43" t="s">
        <v>450</v>
      </c>
    </row>
    <row r="270" spans="1:4">
      <c r="A270" s="20">
        <v>43499</v>
      </c>
      <c r="C270" s="33">
        <v>2000</v>
      </c>
      <c r="D270" s="43" t="s">
        <v>451</v>
      </c>
    </row>
    <row r="271" spans="1:4">
      <c r="C271" s="33">
        <v>1500</v>
      </c>
      <c r="D271" s="43" t="s">
        <v>452</v>
      </c>
    </row>
    <row r="272" spans="1:4">
      <c r="C272" s="33">
        <v>1500</v>
      </c>
      <c r="D272" s="43" t="s">
        <v>453</v>
      </c>
    </row>
    <row r="273" spans="1:4">
      <c r="C273" s="33">
        <v>121000</v>
      </c>
      <c r="D273" s="43" t="s">
        <v>463</v>
      </c>
    </row>
    <row r="274" spans="1:4">
      <c r="A274" s="20">
        <v>43712</v>
      </c>
      <c r="B274" s="24">
        <v>30000</v>
      </c>
      <c r="D274" s="43" t="s">
        <v>454</v>
      </c>
    </row>
    <row r="275" spans="1:4">
      <c r="C275" s="33">
        <v>1000</v>
      </c>
      <c r="D275" s="43" t="s">
        <v>455</v>
      </c>
    </row>
    <row r="276" spans="1:4">
      <c r="B276" s="24">
        <v>82180</v>
      </c>
      <c r="D276" s="43" t="s">
        <v>462</v>
      </c>
    </row>
    <row r="277" spans="1:4">
      <c r="A277" s="20">
        <v>43715</v>
      </c>
      <c r="B277" s="24">
        <v>6000</v>
      </c>
      <c r="D277" s="43" t="s">
        <v>456</v>
      </c>
    </row>
    <row r="278" spans="1:4">
      <c r="A278" s="20">
        <v>43718</v>
      </c>
      <c r="C278" s="33">
        <v>4400</v>
      </c>
      <c r="D278" s="43" t="s">
        <v>457</v>
      </c>
    </row>
    <row r="279" spans="1:4">
      <c r="C279" s="33">
        <v>5000</v>
      </c>
      <c r="D279" s="43" t="s">
        <v>458</v>
      </c>
    </row>
    <row r="280" spans="1:4">
      <c r="C280" s="33">
        <v>3000</v>
      </c>
      <c r="D280" s="43" t="s">
        <v>459</v>
      </c>
    </row>
    <row r="281" spans="1:4">
      <c r="B281" s="24">
        <v>12880</v>
      </c>
      <c r="D281" s="43" t="s">
        <v>460</v>
      </c>
    </row>
    <row r="282" spans="1:4">
      <c r="B282" s="24">
        <v>5000</v>
      </c>
      <c r="D282" s="43" t="s">
        <v>461</v>
      </c>
    </row>
    <row r="283" spans="1:4">
      <c r="B283" s="24">
        <v>37500</v>
      </c>
      <c r="D283" s="43" t="s">
        <v>464</v>
      </c>
    </row>
    <row r="284" spans="1:4">
      <c r="C284" s="33">
        <v>250</v>
      </c>
      <c r="D284" s="43" t="s">
        <v>465</v>
      </c>
    </row>
    <row r="285" spans="1:4">
      <c r="A285" s="20">
        <v>43721</v>
      </c>
      <c r="C285" s="33">
        <v>12000</v>
      </c>
      <c r="D285" s="43" t="s">
        <v>466</v>
      </c>
    </row>
    <row r="286" spans="1:4">
      <c r="A286" s="20">
        <v>43723</v>
      </c>
      <c r="C286" s="33">
        <v>3000</v>
      </c>
      <c r="D286" s="43" t="s">
        <v>467</v>
      </c>
    </row>
    <row r="287" spans="1:4">
      <c r="A287" s="20">
        <v>43724</v>
      </c>
      <c r="B287" s="24">
        <v>3000</v>
      </c>
      <c r="D287" s="43" t="s">
        <v>7</v>
      </c>
    </row>
    <row r="288" spans="1:4">
      <c r="A288" s="20">
        <v>43725</v>
      </c>
      <c r="C288" s="33">
        <v>11000</v>
      </c>
      <c r="D288" s="43" t="s">
        <v>468</v>
      </c>
    </row>
    <row r="289" spans="1:4">
      <c r="A289" s="20">
        <v>43726</v>
      </c>
      <c r="C289" s="33">
        <v>5000</v>
      </c>
      <c r="D289" s="43" t="s">
        <v>469</v>
      </c>
    </row>
    <row r="290" spans="1:4">
      <c r="A290" s="20">
        <v>43728</v>
      </c>
      <c r="C290" s="33">
        <v>9500</v>
      </c>
      <c r="D290" s="43" t="s">
        <v>470</v>
      </c>
    </row>
    <row r="291" spans="1:4">
      <c r="A291" s="20">
        <v>43731</v>
      </c>
      <c r="C291" s="33">
        <v>7000</v>
      </c>
      <c r="D291" s="43" t="s">
        <v>471</v>
      </c>
    </row>
    <row r="292" spans="1:4">
      <c r="A292" s="20">
        <v>43732</v>
      </c>
      <c r="B292" s="24">
        <v>67000</v>
      </c>
      <c r="D292" s="43" t="s">
        <v>472</v>
      </c>
    </row>
    <row r="293" spans="1:4">
      <c r="A293" s="20">
        <v>43733</v>
      </c>
      <c r="C293" s="33">
        <v>67000</v>
      </c>
      <c r="D293" s="43" t="s">
        <v>473</v>
      </c>
    </row>
    <row r="294" spans="1:4">
      <c r="C294" s="33">
        <v>850</v>
      </c>
      <c r="D294" s="43" t="s">
        <v>474</v>
      </c>
    </row>
    <row r="295" spans="1:4">
      <c r="B295" s="24">
        <v>1500</v>
      </c>
      <c r="D295" s="43" t="s">
        <v>475</v>
      </c>
    </row>
    <row r="296" spans="1:4">
      <c r="B296" s="24">
        <v>55000</v>
      </c>
      <c r="D296" s="43" t="s">
        <v>476</v>
      </c>
    </row>
    <row r="297" spans="1:4">
      <c r="C297" s="33">
        <v>500</v>
      </c>
      <c r="D297" s="43" t="s">
        <v>477</v>
      </c>
    </row>
    <row r="298" spans="1:4">
      <c r="A298" s="20">
        <v>43735</v>
      </c>
      <c r="C298" s="33">
        <v>9500</v>
      </c>
      <c r="D298" s="43" t="s">
        <v>478</v>
      </c>
    </row>
    <row r="299" spans="1:4">
      <c r="B299" s="24">
        <v>3500</v>
      </c>
      <c r="D299" s="43" t="s">
        <v>479</v>
      </c>
    </row>
    <row r="300" spans="1:4">
      <c r="C300" s="33">
        <v>250</v>
      </c>
      <c r="D300" s="43" t="s">
        <v>480</v>
      </c>
    </row>
    <row r="301" spans="1:4">
      <c r="A301" s="20">
        <v>43740</v>
      </c>
      <c r="B301" s="24">
        <v>84864</v>
      </c>
      <c r="D301" s="43" t="s">
        <v>481</v>
      </c>
    </row>
    <row r="302" spans="1:4">
      <c r="C302" s="33">
        <v>20000</v>
      </c>
      <c r="D302" s="43" t="s">
        <v>482</v>
      </c>
    </row>
    <row r="303" spans="1:4">
      <c r="B303" s="24">
        <v>10500</v>
      </c>
      <c r="D303" s="43" t="s">
        <v>483</v>
      </c>
    </row>
    <row r="304" spans="1:4">
      <c r="A304" s="20">
        <v>43743</v>
      </c>
      <c r="C304" s="33">
        <v>20000</v>
      </c>
      <c r="D304" s="43" t="s">
        <v>484</v>
      </c>
    </row>
    <row r="305" spans="1:4">
      <c r="C305" s="33">
        <v>5600</v>
      </c>
      <c r="D305" s="43" t="s">
        <v>485</v>
      </c>
    </row>
    <row r="306" spans="1:4">
      <c r="C306" s="33">
        <v>5000</v>
      </c>
      <c r="D306" s="43" t="s">
        <v>486</v>
      </c>
    </row>
    <row r="307" spans="1:4">
      <c r="A307" s="20">
        <v>43755</v>
      </c>
      <c r="C307" s="33">
        <v>7500</v>
      </c>
      <c r="D307" s="43" t="s">
        <v>487</v>
      </c>
    </row>
    <row r="308" spans="1:4">
      <c r="C308" s="33">
        <v>1600</v>
      </c>
      <c r="D308" s="43" t="s">
        <v>488</v>
      </c>
    </row>
    <row r="309" spans="1:4">
      <c r="C309" s="33">
        <v>3000</v>
      </c>
      <c r="D309" s="43" t="s">
        <v>489</v>
      </c>
    </row>
    <row r="310" spans="1:4">
      <c r="C310" s="33">
        <v>5000</v>
      </c>
      <c r="D310" s="43" t="s">
        <v>490</v>
      </c>
    </row>
    <row r="311" spans="1:4">
      <c r="A311" s="20">
        <v>43758</v>
      </c>
      <c r="C311" s="33">
        <v>6000</v>
      </c>
      <c r="D311" s="43" t="s">
        <v>491</v>
      </c>
    </row>
    <row r="312" spans="1:4">
      <c r="C312" s="33">
        <v>2200</v>
      </c>
      <c r="D312" s="43" t="s">
        <v>492</v>
      </c>
    </row>
    <row r="313" spans="1:4">
      <c r="A313" s="20">
        <v>43762</v>
      </c>
      <c r="C313" s="33">
        <v>1390</v>
      </c>
      <c r="D313" s="43" t="s">
        <v>493</v>
      </c>
    </row>
    <row r="314" spans="1:4">
      <c r="C314" s="33">
        <v>3000</v>
      </c>
      <c r="D314" s="43" t="s">
        <v>361</v>
      </c>
    </row>
    <row r="315" spans="1:4">
      <c r="B315" s="24">
        <v>10000</v>
      </c>
      <c r="D315" s="43" t="s">
        <v>494</v>
      </c>
    </row>
    <row r="316" spans="1:4">
      <c r="C316" s="33">
        <v>10000</v>
      </c>
      <c r="D316" s="43" t="s">
        <v>495</v>
      </c>
    </row>
    <row r="317" spans="1:4">
      <c r="B317" s="24">
        <v>12000</v>
      </c>
      <c r="D317" s="43" t="s">
        <v>499</v>
      </c>
    </row>
    <row r="318" spans="1:4">
      <c r="A318" s="20">
        <v>43763</v>
      </c>
      <c r="C318" s="33">
        <v>5000</v>
      </c>
      <c r="D318" s="43" t="s">
        <v>496</v>
      </c>
    </row>
    <row r="319" spans="1:4">
      <c r="C319" s="33">
        <v>3000</v>
      </c>
      <c r="D319" s="43" t="s">
        <v>497</v>
      </c>
    </row>
    <row r="320" spans="1:4">
      <c r="B320" s="24">
        <v>18000</v>
      </c>
      <c r="D320" s="43" t="s">
        <v>498</v>
      </c>
    </row>
    <row r="321" spans="1:4">
      <c r="C321" s="33">
        <v>2000</v>
      </c>
      <c r="D321" s="43" t="s">
        <v>361</v>
      </c>
    </row>
    <row r="322" spans="1:4">
      <c r="A322" s="20">
        <v>43764</v>
      </c>
      <c r="B322" s="24">
        <v>7000</v>
      </c>
      <c r="D322" s="43" t="s">
        <v>500</v>
      </c>
    </row>
    <row r="323" spans="1:4">
      <c r="C323" s="33">
        <v>1500</v>
      </c>
      <c r="D323" s="43" t="s">
        <v>501</v>
      </c>
    </row>
    <row r="324" spans="1:4">
      <c r="A324" s="20">
        <v>43765</v>
      </c>
      <c r="B324" s="24">
        <v>20000</v>
      </c>
      <c r="D324" s="43" t="s">
        <v>502</v>
      </c>
    </row>
    <row r="325" spans="1:4">
      <c r="A325" s="20">
        <v>43766</v>
      </c>
      <c r="C325" s="33">
        <v>6900</v>
      </c>
      <c r="D325" s="43" t="s">
        <v>503</v>
      </c>
    </row>
    <row r="326" spans="1:4">
      <c r="A326" s="20">
        <v>43769</v>
      </c>
      <c r="B326" s="24">
        <v>21400</v>
      </c>
      <c r="D326" s="43" t="s">
        <v>509</v>
      </c>
    </row>
    <row r="327" spans="1:4">
      <c r="A327" s="20">
        <v>43772</v>
      </c>
      <c r="C327" s="33">
        <v>4396</v>
      </c>
      <c r="D327" s="43" t="s">
        <v>504</v>
      </c>
    </row>
    <row r="328" spans="1:4">
      <c r="C328" s="33">
        <v>1010</v>
      </c>
      <c r="D328" s="43" t="s">
        <v>505</v>
      </c>
    </row>
    <row r="329" spans="1:4">
      <c r="C329" s="33">
        <v>2500</v>
      </c>
      <c r="D329" s="43" t="s">
        <v>506</v>
      </c>
    </row>
    <row r="330" spans="1:4">
      <c r="B330" s="24">
        <v>3000</v>
      </c>
      <c r="D330" s="43" t="s">
        <v>507</v>
      </c>
    </row>
    <row r="331" spans="1:4">
      <c r="A331" s="20">
        <v>43774</v>
      </c>
      <c r="C331" s="33">
        <v>3500</v>
      </c>
      <c r="D331" s="43" t="s">
        <v>508</v>
      </c>
    </row>
    <row r="332" spans="1:4">
      <c r="A332" s="20">
        <v>43776</v>
      </c>
      <c r="B332" s="24">
        <v>83000</v>
      </c>
      <c r="D332" s="43" t="s">
        <v>511</v>
      </c>
    </row>
    <row r="333" spans="1:4">
      <c r="A333" s="20">
        <v>43777</v>
      </c>
      <c r="B333" s="24">
        <v>5000</v>
      </c>
      <c r="D333" s="43" t="s">
        <v>510</v>
      </c>
    </row>
    <row r="334" spans="1:4">
      <c r="A334" s="20">
        <v>40126</v>
      </c>
      <c r="C334" s="33">
        <v>750</v>
      </c>
      <c r="D334" s="43" t="s">
        <v>335</v>
      </c>
    </row>
    <row r="335" spans="1:4">
      <c r="A335" s="20">
        <v>43779</v>
      </c>
      <c r="B335" s="24">
        <v>2000</v>
      </c>
      <c r="D335" s="43" t="s">
        <v>512</v>
      </c>
    </row>
    <row r="336" spans="1:4">
      <c r="A336" s="20">
        <v>43782</v>
      </c>
      <c r="C336" s="33">
        <v>4000</v>
      </c>
      <c r="D336" s="43" t="s">
        <v>513</v>
      </c>
    </row>
    <row r="337" spans="1:4">
      <c r="A337" s="20">
        <v>43783</v>
      </c>
      <c r="B337" s="24">
        <v>10000</v>
      </c>
      <c r="D337" s="43" t="s">
        <v>514</v>
      </c>
    </row>
    <row r="338" spans="1:4">
      <c r="C338" s="33">
        <v>3000</v>
      </c>
      <c r="D338" s="43" t="s">
        <v>515</v>
      </c>
    </row>
    <row r="339" spans="1:4">
      <c r="A339" s="20">
        <v>43784</v>
      </c>
      <c r="C339" s="33">
        <v>3000</v>
      </c>
      <c r="D339" s="43" t="s">
        <v>516</v>
      </c>
    </row>
    <row r="340" spans="1:4">
      <c r="C340" s="33">
        <v>600</v>
      </c>
      <c r="D340" s="43" t="s">
        <v>517</v>
      </c>
    </row>
    <row r="341" spans="1:4">
      <c r="A341" s="20">
        <v>43790</v>
      </c>
      <c r="C341" s="33">
        <v>600</v>
      </c>
      <c r="D341" s="43" t="s">
        <v>518</v>
      </c>
    </row>
    <row r="342" spans="1:4">
      <c r="B342" s="24">
        <v>21760</v>
      </c>
      <c r="D342" s="43" t="s">
        <v>519</v>
      </c>
    </row>
    <row r="343" spans="1:4">
      <c r="A343" s="20">
        <v>43791</v>
      </c>
      <c r="B343" s="24">
        <v>15000</v>
      </c>
      <c r="D343" s="43" t="s">
        <v>520</v>
      </c>
    </row>
    <row r="344" spans="1:4">
      <c r="A344" s="20">
        <v>43792</v>
      </c>
      <c r="C344" s="33">
        <v>8000</v>
      </c>
      <c r="D344" s="43" t="s">
        <v>521</v>
      </c>
    </row>
    <row r="345" spans="1:4">
      <c r="B345" s="24">
        <v>20000</v>
      </c>
      <c r="D345" s="43" t="s">
        <v>522</v>
      </c>
    </row>
    <row r="346" spans="1:4">
      <c r="A346" s="20">
        <v>43793</v>
      </c>
      <c r="B346" s="24">
        <v>5000</v>
      </c>
      <c r="D346" s="43" t="s">
        <v>523</v>
      </c>
    </row>
    <row r="347" spans="1:4">
      <c r="A347" s="20">
        <v>43795</v>
      </c>
      <c r="C347" s="33">
        <v>1000</v>
      </c>
      <c r="D347" s="43" t="s">
        <v>524</v>
      </c>
    </row>
    <row r="348" spans="1:4">
      <c r="C348" s="33">
        <v>7000</v>
      </c>
      <c r="D348" s="43" t="s">
        <v>525</v>
      </c>
    </row>
    <row r="349" spans="1:4">
      <c r="B349" s="24">
        <v>2000</v>
      </c>
      <c r="D349" s="43" t="s">
        <v>526</v>
      </c>
    </row>
    <row r="350" spans="1:4">
      <c r="B350" s="24">
        <v>5000</v>
      </c>
      <c r="D350" s="43" t="s">
        <v>527</v>
      </c>
    </row>
    <row r="351" spans="1:4">
      <c r="A351" s="20">
        <v>43797</v>
      </c>
      <c r="C351" s="33">
        <v>8600</v>
      </c>
      <c r="D351" s="43" t="s">
        <v>528</v>
      </c>
    </row>
    <row r="352" spans="1:4">
      <c r="C352" s="33">
        <v>10000</v>
      </c>
      <c r="D352" s="43" t="s">
        <v>530</v>
      </c>
    </row>
    <row r="353" spans="1:4">
      <c r="A353" s="20">
        <v>43798</v>
      </c>
      <c r="B353" s="24">
        <v>8000</v>
      </c>
      <c r="D353" s="43" t="s">
        <v>529</v>
      </c>
    </row>
    <row r="354" spans="1:4">
      <c r="B354" s="24">
        <v>25000</v>
      </c>
      <c r="D354" s="43" t="s">
        <v>531</v>
      </c>
    </row>
    <row r="355" spans="1:4">
      <c r="A355" s="20">
        <v>43802</v>
      </c>
      <c r="C355" s="33">
        <v>9000</v>
      </c>
      <c r="D355" s="43" t="s">
        <v>532</v>
      </c>
    </row>
    <row r="356" spans="1:4">
      <c r="A356" s="20">
        <v>43804</v>
      </c>
      <c r="C356" s="33">
        <v>5000</v>
      </c>
      <c r="D356" s="43" t="s">
        <v>533</v>
      </c>
    </row>
    <row r="357" spans="1:4">
      <c r="C357" s="33">
        <v>2000</v>
      </c>
      <c r="D357" s="43" t="s">
        <v>534</v>
      </c>
    </row>
    <row r="358" spans="1:4">
      <c r="A358" s="20">
        <v>43805</v>
      </c>
      <c r="C358" s="33">
        <v>13000</v>
      </c>
      <c r="D358" s="43" t="s">
        <v>535</v>
      </c>
    </row>
    <row r="359" spans="1:4">
      <c r="C359" s="33">
        <v>100</v>
      </c>
      <c r="D359" s="43" t="s">
        <v>536</v>
      </c>
    </row>
    <row r="360" spans="1:4">
      <c r="C360" s="33">
        <v>7500</v>
      </c>
      <c r="D360" s="43" t="s">
        <v>537</v>
      </c>
    </row>
    <row r="361" spans="1:4">
      <c r="A361" s="20">
        <v>43808</v>
      </c>
      <c r="B361" s="24">
        <v>4200</v>
      </c>
      <c r="D361" s="43" t="s">
        <v>538</v>
      </c>
    </row>
    <row r="362" spans="1:4">
      <c r="B362" s="24">
        <v>4000</v>
      </c>
      <c r="D362" s="43" t="s">
        <v>539</v>
      </c>
    </row>
    <row r="363" spans="1:4">
      <c r="A363" s="20">
        <v>43809</v>
      </c>
      <c r="B363" s="24">
        <v>20000</v>
      </c>
      <c r="D363" s="43" t="s">
        <v>540</v>
      </c>
    </row>
    <row r="364" spans="1:4">
      <c r="C364" s="33">
        <v>8000</v>
      </c>
      <c r="D364" s="43" t="s">
        <v>541</v>
      </c>
    </row>
    <row r="365" spans="1:4">
      <c r="A365" s="20">
        <v>43810</v>
      </c>
      <c r="C365" s="33">
        <v>6500</v>
      </c>
      <c r="D365" s="43" t="s">
        <v>542</v>
      </c>
    </row>
    <row r="366" spans="1:4">
      <c r="C366" s="33">
        <v>10000</v>
      </c>
      <c r="D366" s="43" t="s">
        <v>543</v>
      </c>
    </row>
    <row r="367" spans="1:4">
      <c r="C367" s="33">
        <v>3000</v>
      </c>
      <c r="D367" s="43" t="s">
        <v>544</v>
      </c>
    </row>
    <row r="368" spans="1:4">
      <c r="B368" s="24">
        <v>7200</v>
      </c>
      <c r="D368" s="43" t="s">
        <v>551</v>
      </c>
    </row>
    <row r="369" spans="1:4">
      <c r="A369" s="20">
        <v>43811</v>
      </c>
      <c r="B369" s="24">
        <v>10000</v>
      </c>
      <c r="D369" s="43" t="s">
        <v>545</v>
      </c>
    </row>
    <row r="370" spans="1:4">
      <c r="C370" s="33">
        <v>860</v>
      </c>
      <c r="D370" s="43" t="s">
        <v>546</v>
      </c>
    </row>
    <row r="371" spans="1:4">
      <c r="C371" s="33">
        <v>1330</v>
      </c>
      <c r="D371" s="43" t="s">
        <v>547</v>
      </c>
    </row>
    <row r="372" spans="1:4">
      <c r="A372" s="20">
        <v>43812</v>
      </c>
      <c r="C372" s="33">
        <v>1500</v>
      </c>
      <c r="D372" s="43" t="s">
        <v>548</v>
      </c>
    </row>
    <row r="373" spans="1:4">
      <c r="C373" s="33">
        <v>5100</v>
      </c>
      <c r="D373" s="43" t="s">
        <v>549</v>
      </c>
    </row>
    <row r="374" spans="1:4">
      <c r="C374" s="33">
        <v>100</v>
      </c>
      <c r="D374" s="43" t="s">
        <v>550</v>
      </c>
    </row>
    <row r="375" spans="1:4">
      <c r="A375" s="20">
        <v>43814</v>
      </c>
      <c r="C375" s="33">
        <v>3000</v>
      </c>
      <c r="D375" s="43" t="s">
        <v>552</v>
      </c>
    </row>
    <row r="376" spans="1:4">
      <c r="C376" s="33">
        <v>2500</v>
      </c>
      <c r="D376" s="43" t="s">
        <v>553</v>
      </c>
    </row>
    <row r="377" spans="1:4">
      <c r="B377" s="24">
        <v>20000</v>
      </c>
      <c r="D377" s="43" t="s">
        <v>554</v>
      </c>
    </row>
    <row r="378" spans="1:4">
      <c r="C378" s="33">
        <v>3000</v>
      </c>
      <c r="D378" s="43" t="s">
        <v>555</v>
      </c>
    </row>
    <row r="379" spans="1:4">
      <c r="A379" s="20">
        <v>43815</v>
      </c>
      <c r="B379" s="24">
        <v>40000</v>
      </c>
      <c r="D379" s="43" t="s">
        <v>556</v>
      </c>
    </row>
    <row r="380" spans="1:4">
      <c r="C380" s="33">
        <v>4000</v>
      </c>
      <c r="D380" s="43" t="s">
        <v>557</v>
      </c>
    </row>
    <row r="381" spans="1:4">
      <c r="A381" s="20">
        <v>43816</v>
      </c>
      <c r="C381" s="33">
        <v>9800</v>
      </c>
      <c r="D381" s="43" t="s">
        <v>558</v>
      </c>
    </row>
    <row r="382" spans="1:4">
      <c r="C382" s="33">
        <v>8000</v>
      </c>
      <c r="D382" s="43" t="s">
        <v>559</v>
      </c>
    </row>
    <row r="383" spans="1:4">
      <c r="A383" s="20">
        <v>43817</v>
      </c>
      <c r="B383" s="24">
        <v>6000</v>
      </c>
      <c r="C383" s="33">
        <v>6000</v>
      </c>
      <c r="D383" s="43" t="s">
        <v>564</v>
      </c>
    </row>
    <row r="384" spans="1:4">
      <c r="C384" s="33">
        <v>3000</v>
      </c>
      <c r="D384" s="43" t="s">
        <v>560</v>
      </c>
    </row>
    <row r="385" spans="1:4">
      <c r="A385" s="20">
        <v>43818</v>
      </c>
      <c r="C385" s="33">
        <v>1000</v>
      </c>
      <c r="D385" s="43" t="s">
        <v>561</v>
      </c>
    </row>
    <row r="386" spans="1:4">
      <c r="C386" s="33">
        <v>3000</v>
      </c>
      <c r="D386" s="43" t="s">
        <v>562</v>
      </c>
    </row>
    <row r="387" spans="1:4">
      <c r="B387" s="24">
        <v>19902</v>
      </c>
      <c r="D387" s="43" t="s">
        <v>563</v>
      </c>
    </row>
    <row r="388" spans="1:4">
      <c r="A388" s="20">
        <v>43819</v>
      </c>
      <c r="B388" s="24">
        <v>5000</v>
      </c>
      <c r="D388" s="43" t="s">
        <v>565</v>
      </c>
    </row>
    <row r="389" spans="1:4">
      <c r="B389" s="24">
        <v>20000</v>
      </c>
      <c r="D389" s="43" t="s">
        <v>566</v>
      </c>
    </row>
    <row r="390" spans="1:4">
      <c r="B390" s="24">
        <v>65000</v>
      </c>
      <c r="D390" s="43" t="s">
        <v>567</v>
      </c>
    </row>
    <row r="391" spans="1:4">
      <c r="C391" s="33">
        <v>2000</v>
      </c>
      <c r="D391" s="43" t="s">
        <v>568</v>
      </c>
    </row>
    <row r="392" spans="1:4">
      <c r="A392" s="20">
        <v>43820</v>
      </c>
      <c r="C392" s="33">
        <v>1000</v>
      </c>
      <c r="D392" s="43" t="s">
        <v>569</v>
      </c>
    </row>
    <row r="393" spans="1:4">
      <c r="A393" s="20">
        <v>43822</v>
      </c>
      <c r="C393" s="33">
        <v>2000</v>
      </c>
      <c r="D393" s="43" t="s">
        <v>570</v>
      </c>
    </row>
    <row r="394" spans="1:4">
      <c r="A394" s="20">
        <v>43824</v>
      </c>
      <c r="C394" s="33">
        <v>50000</v>
      </c>
      <c r="D394" s="43" t="s">
        <v>571</v>
      </c>
    </row>
    <row r="395" spans="1:4">
      <c r="B395" s="24">
        <v>6200</v>
      </c>
      <c r="D395" s="43" t="s">
        <v>572</v>
      </c>
    </row>
    <row r="396" spans="1:4">
      <c r="A396" s="20">
        <v>43826</v>
      </c>
      <c r="B396" s="24">
        <v>5860</v>
      </c>
      <c r="D396" s="43" t="s">
        <v>573</v>
      </c>
    </row>
    <row r="397" spans="1:4">
      <c r="B397" s="24">
        <v>22500</v>
      </c>
      <c r="C397" s="33">
        <v>22500</v>
      </c>
      <c r="D397" s="43" t="s">
        <v>574</v>
      </c>
    </row>
    <row r="398" spans="1:4">
      <c r="A398" s="20">
        <v>43827</v>
      </c>
      <c r="C398" s="33">
        <v>3000</v>
      </c>
      <c r="D398" s="43" t="s">
        <v>578</v>
      </c>
    </row>
    <row r="399" spans="1:4">
      <c r="A399" s="20">
        <v>43829</v>
      </c>
      <c r="B399" s="24">
        <v>10000</v>
      </c>
      <c r="D399" s="43" t="s">
        <v>575</v>
      </c>
    </row>
    <row r="400" spans="1:4">
      <c r="C400" s="33">
        <v>3000</v>
      </c>
      <c r="D400" s="43" t="s">
        <v>576</v>
      </c>
    </row>
    <row r="401" spans="2:4">
      <c r="C401" s="33">
        <v>340</v>
      </c>
      <c r="D401" s="43" t="s">
        <v>577</v>
      </c>
    </row>
    <row r="402" spans="2:4">
      <c r="B402" s="24">
        <v>6000</v>
      </c>
      <c r="D402" s="43" t="s">
        <v>579</v>
      </c>
    </row>
    <row r="403" spans="2:4">
      <c r="C403" s="33">
        <v>1000</v>
      </c>
      <c r="D403" s="43" t="s">
        <v>580</v>
      </c>
    </row>
    <row r="426" spans="5:5">
      <c r="E426"/>
    </row>
    <row r="427" spans="5:5">
      <c r="E427"/>
    </row>
    <row r="428" spans="5:5">
      <c r="E428"/>
    </row>
    <row r="429" spans="5:5">
      <c r="E429"/>
    </row>
    <row r="430" spans="5:5">
      <c r="E430"/>
    </row>
    <row r="431" spans="5:5">
      <c r="E431"/>
    </row>
    <row r="432" spans="5:5">
      <c r="E432"/>
    </row>
    <row r="494" spans="1:5" s="11" customFormat="1">
      <c r="A494" s="55"/>
      <c r="B494" s="27"/>
      <c r="C494" s="35"/>
      <c r="D494" s="45"/>
      <c r="E494" s="12"/>
    </row>
    <row r="656" spans="1:5" s="10" customFormat="1">
      <c r="A656" s="21"/>
      <c r="B656" s="25"/>
      <c r="C656" s="34"/>
      <c r="D656" s="44"/>
      <c r="E656" s="9"/>
    </row>
    <row r="751" spans="1:5" s="11" customFormat="1">
      <c r="A751" s="55"/>
      <c r="B751" s="27"/>
      <c r="C751" s="35"/>
      <c r="D751" s="45"/>
      <c r="E751" s="12"/>
    </row>
    <row r="782" spans="1:5" s="10" customFormat="1">
      <c r="A782" s="21"/>
      <c r="B782" s="25"/>
      <c r="C782" s="34"/>
      <c r="D782" s="44"/>
      <c r="E782" s="9"/>
    </row>
    <row r="783" spans="1:5" s="10" customFormat="1">
      <c r="A783" s="21"/>
      <c r="B783" s="25"/>
      <c r="C783" s="34"/>
      <c r="D783" s="44"/>
      <c r="E783" s="9"/>
    </row>
    <row r="805" spans="1:4">
      <c r="B805" s="28"/>
      <c r="C805" s="36"/>
      <c r="D805" s="46"/>
    </row>
    <row r="806" spans="1:4">
      <c r="A806" s="56"/>
      <c r="B806" s="28"/>
      <c r="C806" s="36"/>
      <c r="D806" s="47"/>
    </row>
    <row r="807" spans="1:4">
      <c r="A807" s="56"/>
      <c r="B807" s="28"/>
      <c r="C807" s="36"/>
      <c r="D807" s="47"/>
    </row>
    <row r="808" spans="1:4">
      <c r="A808" s="56"/>
      <c r="B808" s="28"/>
      <c r="C808" s="36"/>
      <c r="D808" s="47"/>
    </row>
    <row r="809" spans="1:4">
      <c r="A809" s="56"/>
    </row>
    <row r="820" spans="3:3">
      <c r="C820" s="37"/>
    </row>
    <row r="936" spans="3:3">
      <c r="C936" s="37"/>
    </row>
    <row r="987" spans="1:5" s="11" customFormat="1">
      <c r="A987" s="55"/>
      <c r="B987" s="27"/>
      <c r="C987" s="35"/>
      <c r="D987" s="45"/>
      <c r="E987" s="12"/>
    </row>
    <row r="1005" spans="4:4">
      <c r="D1005" s="48"/>
    </row>
    <row r="1145" spans="1:5" s="13" customFormat="1">
      <c r="A1145" s="57"/>
      <c r="B1145" s="29"/>
      <c r="C1145" s="38"/>
      <c r="D1145" s="49"/>
      <c r="E1145" s="14"/>
    </row>
    <row r="1261" spans="1:5" s="16" customFormat="1">
      <c r="A1261" s="58"/>
      <c r="B1261" s="30"/>
      <c r="C1261" s="39"/>
      <c r="D1261" s="50"/>
      <c r="E1261" s="15"/>
    </row>
    <row r="1296" spans="3:3">
      <c r="C1296" s="37"/>
    </row>
    <row r="1297" spans="1:5" s="10" customFormat="1">
      <c r="A1297" s="21"/>
      <c r="B1297" s="25"/>
      <c r="C1297" s="34"/>
      <c r="D1297" s="44"/>
      <c r="E1297" s="9"/>
    </row>
    <row r="1307" spans="1:5" s="10" customFormat="1">
      <c r="A1307" s="21"/>
      <c r="B1307" s="25"/>
      <c r="C1307" s="34"/>
      <c r="D1307" s="44"/>
      <c r="E1307" s="9"/>
    </row>
    <row r="1355" spans="1:5" s="16" customFormat="1">
      <c r="A1355" s="58"/>
      <c r="B1355" s="30"/>
      <c r="C1355" s="39"/>
      <c r="D1355" s="50"/>
      <c r="E1355" s="15"/>
    </row>
    <row r="1406" spans="1:5" s="10" customFormat="1">
      <c r="A1406" s="21"/>
      <c r="B1406" s="25"/>
      <c r="C1406" s="34"/>
      <c r="D1406" s="44"/>
      <c r="E1406" s="9"/>
    </row>
    <row r="1429" spans="5:5">
      <c r="E1429"/>
    </row>
    <row r="1488" spans="1:5" s="8" customFormat="1">
      <c r="A1488" s="59"/>
      <c r="B1488" s="31"/>
      <c r="C1488" s="40"/>
      <c r="D1488" s="51"/>
      <c r="E1488" s="7"/>
    </row>
    <row r="1493" spans="1:5" s="8" customFormat="1">
      <c r="A1493" s="59"/>
      <c r="B1493" s="31"/>
      <c r="C1493" s="40"/>
      <c r="D1493" s="51"/>
      <c r="E1493" s="7"/>
    </row>
    <row r="1497" spans="1:5">
      <c r="D1497" s="18"/>
    </row>
    <row r="1498" spans="1:5">
      <c r="D1498" s="18"/>
    </row>
    <row r="1499" spans="1:5">
      <c r="D1499" s="18"/>
    </row>
    <row r="1500" spans="1:5">
      <c r="D1500" s="18"/>
    </row>
    <row r="1501" spans="1:5">
      <c r="D1501" s="18"/>
    </row>
    <row r="1502" spans="1:5">
      <c r="D1502" s="18"/>
    </row>
    <row r="1503" spans="1:5">
      <c r="D1503" s="18"/>
    </row>
    <row r="1504" spans="1:5">
      <c r="D1504" s="18"/>
    </row>
    <row r="1505" spans="4:4">
      <c r="D1505" s="18"/>
    </row>
    <row r="1506" spans="4:4">
      <c r="D1506" s="18"/>
    </row>
    <row r="1507" spans="4:4">
      <c r="D1507" s="18"/>
    </row>
    <row r="1508" spans="4:4">
      <c r="D1508" s="18"/>
    </row>
    <row r="1509" spans="4:4">
      <c r="D1509" s="18"/>
    </row>
    <row r="1511" spans="4:4">
      <c r="D1511" s="18"/>
    </row>
    <row r="1512" spans="4:4">
      <c r="D1512" s="18"/>
    </row>
    <row r="1513" spans="4:4">
      <c r="D1513" s="18"/>
    </row>
    <row r="1514" spans="4:4">
      <c r="D1514" s="18"/>
    </row>
    <row r="1515" spans="4:4">
      <c r="D1515" s="18"/>
    </row>
    <row r="1516" spans="4:4">
      <c r="D1516" s="18"/>
    </row>
    <row r="1517" spans="4:4">
      <c r="D1517" s="18"/>
    </row>
    <row r="1518" spans="4:4">
      <c r="D1518" s="18"/>
    </row>
    <row r="1519" spans="4:4">
      <c r="D1519" s="18"/>
    </row>
    <row r="1520" spans="4:4">
      <c r="D1520" s="18"/>
    </row>
    <row r="1521" spans="4:4">
      <c r="D1521" s="18"/>
    </row>
    <row r="1522" spans="4:4">
      <c r="D1522" s="18"/>
    </row>
    <row r="1523" spans="4:4">
      <c r="D1523" s="18"/>
    </row>
    <row r="1524" spans="4:4">
      <c r="D1524" s="18"/>
    </row>
    <row r="1525" spans="4:4">
      <c r="D1525" s="18"/>
    </row>
    <row r="1542" spans="1:5" s="13" customFormat="1">
      <c r="A1542" s="57"/>
      <c r="B1542" s="29"/>
      <c r="C1542" s="38"/>
      <c r="D1542" s="49"/>
      <c r="E1542" s="14"/>
    </row>
    <row r="1562" spans="4:4">
      <c r="D1562" s="18"/>
    </row>
    <row r="1563" spans="4:4">
      <c r="D1563" s="18"/>
    </row>
    <row r="1564" spans="4:4">
      <c r="D1564" s="18"/>
    </row>
    <row r="1565" spans="4:4">
      <c r="D1565" s="18"/>
    </row>
    <row r="1566" spans="4:4">
      <c r="D1566" s="18"/>
    </row>
    <row r="1567" spans="4:4">
      <c r="D1567" s="18"/>
    </row>
    <row r="1742" spans="4:4">
      <c r="D1742" s="18"/>
    </row>
    <row r="1809" spans="1:4" ht="13.5" thickBot="1"/>
    <row r="1810" spans="1:4" ht="15.75" thickBot="1">
      <c r="A1810" s="60"/>
      <c r="B1810" s="53"/>
      <c r="C1810" s="54"/>
      <c r="D1810" s="52"/>
    </row>
    <row r="1811" spans="1:4" ht="15.75" thickBot="1">
      <c r="A1811" s="60"/>
      <c r="B1811" s="53"/>
      <c r="C1811" s="54"/>
      <c r="D1811" s="52"/>
    </row>
    <row r="1812" spans="1:4" ht="15.75" thickBot="1">
      <c r="A1812" s="60"/>
      <c r="B1812" s="53"/>
      <c r="C1812" s="54"/>
      <c r="D1812" s="52"/>
    </row>
    <row r="1813" spans="1:4" ht="15.75" thickBot="1">
      <c r="A1813" s="60"/>
      <c r="B1813" s="53"/>
      <c r="C1813" s="54"/>
      <c r="D1813" s="52"/>
    </row>
    <row r="1814" spans="1:4" ht="15.75" thickBot="1">
      <c r="A1814" s="60"/>
      <c r="B1814" s="53"/>
      <c r="C1814" s="54"/>
      <c r="D1814" s="52"/>
    </row>
    <row r="1815" spans="1:4" ht="15.75" thickBot="1">
      <c r="A1815" s="60"/>
      <c r="B1815" s="53"/>
      <c r="C1815" s="54"/>
      <c r="D1815" s="52"/>
    </row>
    <row r="1816" spans="1:4" ht="15.75" thickBot="1">
      <c r="A1816" s="60"/>
      <c r="B1816" s="53"/>
      <c r="C1816" s="54"/>
      <c r="D1816" s="52"/>
    </row>
    <row r="1817" spans="1:4" ht="15.75" thickBot="1">
      <c r="A1817" s="60"/>
      <c r="B1817" s="53"/>
      <c r="C1817" s="54"/>
      <c r="D1817" s="52"/>
    </row>
    <row r="1818" spans="1:4" ht="15.75" thickBot="1">
      <c r="A1818" s="60"/>
      <c r="B1818" s="53"/>
      <c r="C1818" s="54"/>
      <c r="D1818" s="52"/>
    </row>
    <row r="1819" spans="1:4" ht="15.75" thickBot="1">
      <c r="A1819" s="60"/>
      <c r="B1819" s="53"/>
      <c r="C1819" s="54"/>
      <c r="D1819" s="52"/>
    </row>
    <row r="1820" spans="1:4" ht="15.75" thickBot="1">
      <c r="A1820" s="60"/>
      <c r="B1820" s="53"/>
      <c r="C1820" s="54"/>
      <c r="D1820" s="52"/>
    </row>
    <row r="1821" spans="1:4" ht="15.75" thickBot="1">
      <c r="A1821" s="60"/>
      <c r="B1821" s="53"/>
      <c r="C1821" s="54"/>
      <c r="D1821" s="52"/>
    </row>
    <row r="1822" spans="1:4" ht="15.75" thickBot="1">
      <c r="A1822" s="60"/>
      <c r="B1822" s="53"/>
      <c r="C1822" s="54"/>
      <c r="D1822" s="52"/>
    </row>
    <row r="1823" spans="1:4" ht="15.75" thickBot="1">
      <c r="A1823" s="60"/>
      <c r="B1823" s="53"/>
      <c r="C1823" s="54"/>
      <c r="D1823" s="52"/>
    </row>
    <row r="1824" spans="1:4" ht="15.75" thickBot="1">
      <c r="A1824" s="60"/>
      <c r="B1824" s="53"/>
      <c r="C1824" s="54"/>
      <c r="D1824" s="52"/>
    </row>
    <row r="1825" spans="1:4" ht="15.75" thickBot="1">
      <c r="A1825" s="60"/>
      <c r="B1825" s="53"/>
      <c r="C1825" s="54"/>
      <c r="D1825" s="52"/>
    </row>
    <row r="1850" spans="1:5" s="8" customFormat="1">
      <c r="A1850" s="59"/>
      <c r="B1850" s="31"/>
      <c r="C1850" s="40"/>
      <c r="D1850" s="51"/>
      <c r="E1850" s="7"/>
    </row>
  </sheetData>
  <mergeCells count="4">
    <mergeCell ref="B3:C3"/>
    <mergeCell ref="F1:H1"/>
    <mergeCell ref="F2:H2"/>
    <mergeCell ref="G3:H3"/>
  </mergeCells>
  <pageMargins left="0.75" right="0.75" top="1" bottom="1" header="0.5" footer="0.5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">
    <tabColor indexed="17"/>
  </sheetPr>
  <dimension ref="A1:G1835"/>
  <sheetViews>
    <sheetView zoomScale="110" zoomScaleNormal="110" workbookViewId="0">
      <pane ySplit="3" topLeftCell="A34" activePane="bottomLeft" state="frozen"/>
      <selection pane="bottomLeft" activeCell="B3" sqref="B3:C3"/>
    </sheetView>
  </sheetViews>
  <sheetFormatPr defaultRowHeight="12.75"/>
  <cols>
    <col min="1" max="1" width="16.85546875" style="20" customWidth="1"/>
    <col min="2" max="2" width="16.85546875" style="24" customWidth="1"/>
    <col min="3" max="3" width="16.85546875" style="33" customWidth="1"/>
    <col min="4" max="4" width="87.42578125" style="43" customWidth="1"/>
    <col min="5" max="5" width="10.85546875" style="3" customWidth="1"/>
  </cols>
  <sheetData>
    <row r="1" spans="1:7" s="2" customFormat="1" ht="24" customHeight="1">
      <c r="A1" s="17" t="s">
        <v>0</v>
      </c>
      <c r="B1" s="1" t="s">
        <v>1</v>
      </c>
      <c r="C1" s="22" t="s">
        <v>2</v>
      </c>
      <c r="D1" s="41" t="s">
        <v>3</v>
      </c>
      <c r="E1" s="4"/>
      <c r="F1" s="110" t="s">
        <v>13</v>
      </c>
      <c r="G1" s="110"/>
    </row>
    <row r="2" spans="1:7" s="2" customFormat="1" ht="24" customHeight="1">
      <c r="A2" s="19"/>
      <c r="B2" s="23">
        <f>SUM(B4:B2110)</f>
        <v>1031550</v>
      </c>
      <c r="C2" s="32">
        <f>SUM(C4:C2110)</f>
        <v>535506</v>
      </c>
      <c r="D2" s="42"/>
      <c r="E2" s="5"/>
      <c r="F2" s="110"/>
      <c r="G2" s="110"/>
    </row>
    <row r="3" spans="1:7" s="2" customFormat="1" ht="24" customHeight="1">
      <c r="A3" s="19" t="s">
        <v>4</v>
      </c>
      <c r="B3" s="107">
        <f>B2-C2</f>
        <v>496044</v>
      </c>
      <c r="C3" s="107"/>
      <c r="D3" s="42"/>
      <c r="E3" s="6"/>
      <c r="F3" s="110"/>
      <c r="G3" s="110"/>
    </row>
    <row r="4" spans="1:7">
      <c r="A4" s="20">
        <v>43107</v>
      </c>
      <c r="B4" s="26">
        <v>10000</v>
      </c>
      <c r="D4" s="18" t="s">
        <v>5</v>
      </c>
    </row>
    <row r="5" spans="1:7">
      <c r="A5" s="20">
        <v>43111</v>
      </c>
      <c r="B5" s="26">
        <v>1500</v>
      </c>
      <c r="D5" s="18" t="s">
        <v>6</v>
      </c>
    </row>
    <row r="6" spans="1:7">
      <c r="A6" s="20">
        <v>43114</v>
      </c>
      <c r="B6" s="26">
        <v>3000</v>
      </c>
      <c r="D6" s="18" t="s">
        <v>7</v>
      </c>
    </row>
    <row r="7" spans="1:7">
      <c r="A7" s="20">
        <v>43115</v>
      </c>
      <c r="B7" s="26">
        <v>1500</v>
      </c>
      <c r="D7" s="18" t="s">
        <v>8</v>
      </c>
    </row>
    <row r="8" spans="1:7">
      <c r="A8" s="20">
        <v>43115</v>
      </c>
      <c r="B8" s="26">
        <v>500</v>
      </c>
      <c r="D8" s="18" t="s">
        <v>9</v>
      </c>
    </row>
    <row r="9" spans="1:7">
      <c r="A9" s="20">
        <v>43117</v>
      </c>
      <c r="B9" s="26">
        <v>2000</v>
      </c>
      <c r="D9" s="18" t="s">
        <v>10</v>
      </c>
    </row>
    <row r="10" spans="1:7">
      <c r="A10" s="20">
        <v>43121</v>
      </c>
      <c r="B10" s="26">
        <v>5000</v>
      </c>
      <c r="D10" s="18" t="s">
        <v>11</v>
      </c>
    </row>
    <row r="11" spans="1:7">
      <c r="A11" s="20">
        <v>43128</v>
      </c>
      <c r="B11" s="26">
        <v>5500</v>
      </c>
      <c r="D11" s="18" t="s">
        <v>12</v>
      </c>
    </row>
    <row r="12" spans="1:7" s="16" customFormat="1">
      <c r="A12" s="58">
        <v>43132</v>
      </c>
      <c r="B12" s="30"/>
      <c r="C12" s="39">
        <v>3500</v>
      </c>
      <c r="D12" s="50" t="s">
        <v>14</v>
      </c>
      <c r="E12" s="15"/>
    </row>
    <row r="13" spans="1:7">
      <c r="C13" s="33">
        <v>1360</v>
      </c>
      <c r="D13" s="43" t="s">
        <v>15</v>
      </c>
    </row>
    <row r="14" spans="1:7">
      <c r="B14" s="24">
        <v>4500</v>
      </c>
      <c r="D14" s="43" t="s">
        <v>17</v>
      </c>
    </row>
    <row r="15" spans="1:7">
      <c r="C15" s="33">
        <v>4000</v>
      </c>
      <c r="D15" s="43" t="s">
        <v>16</v>
      </c>
    </row>
    <row r="16" spans="1:7">
      <c r="A16" s="20">
        <v>43134</v>
      </c>
      <c r="C16" s="33">
        <v>6000</v>
      </c>
      <c r="D16" s="43" t="s">
        <v>18</v>
      </c>
    </row>
    <row r="17" spans="1:4">
      <c r="B17" s="24">
        <v>2000</v>
      </c>
      <c r="D17" s="43" t="s">
        <v>19</v>
      </c>
    </row>
    <row r="18" spans="1:4">
      <c r="A18" s="20">
        <v>42772</v>
      </c>
      <c r="B18" s="24">
        <v>4500</v>
      </c>
      <c r="D18" s="43" t="s">
        <v>20</v>
      </c>
    </row>
    <row r="19" spans="1:4">
      <c r="C19" s="33">
        <v>3700</v>
      </c>
      <c r="D19" s="43" t="s">
        <v>21</v>
      </c>
    </row>
    <row r="20" spans="1:4">
      <c r="A20" s="20">
        <v>42773</v>
      </c>
      <c r="C20" s="33">
        <v>2100</v>
      </c>
      <c r="D20" s="43" t="s">
        <v>22</v>
      </c>
    </row>
    <row r="21" spans="1:4">
      <c r="C21" s="33">
        <v>1600</v>
      </c>
      <c r="D21" s="43" t="s">
        <v>23</v>
      </c>
    </row>
    <row r="22" spans="1:4">
      <c r="A22" s="20">
        <v>42774</v>
      </c>
      <c r="C22" s="33">
        <v>2500</v>
      </c>
      <c r="D22" s="43" t="s">
        <v>24</v>
      </c>
    </row>
    <row r="23" spans="1:4">
      <c r="C23" s="33">
        <v>400</v>
      </c>
      <c r="D23" s="43" t="s">
        <v>25</v>
      </c>
    </row>
    <row r="24" spans="1:4">
      <c r="B24" s="24">
        <v>1500</v>
      </c>
      <c r="D24" s="43" t="s">
        <v>26</v>
      </c>
    </row>
    <row r="25" spans="1:4">
      <c r="C25" s="33">
        <v>1900</v>
      </c>
      <c r="D25" s="43" t="s">
        <v>22</v>
      </c>
    </row>
    <row r="26" spans="1:4">
      <c r="A26" s="20">
        <v>43141</v>
      </c>
      <c r="B26" s="24">
        <v>5000</v>
      </c>
      <c r="D26" s="43" t="s">
        <v>27</v>
      </c>
    </row>
    <row r="27" spans="1:4">
      <c r="A27" s="20">
        <v>43143</v>
      </c>
      <c r="B27" s="24">
        <v>1500</v>
      </c>
      <c r="D27" s="43" t="s">
        <v>28</v>
      </c>
    </row>
    <row r="28" spans="1:4">
      <c r="B28" s="24">
        <v>1000</v>
      </c>
      <c r="D28" s="43" t="s">
        <v>32</v>
      </c>
    </row>
    <row r="29" spans="1:4">
      <c r="A29" s="20">
        <v>43148</v>
      </c>
      <c r="B29" s="24">
        <v>35000</v>
      </c>
      <c r="D29" s="43" t="s">
        <v>29</v>
      </c>
    </row>
    <row r="30" spans="1:4">
      <c r="C30" s="33">
        <v>250</v>
      </c>
      <c r="D30" s="43" t="s">
        <v>30</v>
      </c>
    </row>
    <row r="31" spans="1:4">
      <c r="A31" s="20">
        <v>43149</v>
      </c>
      <c r="B31" s="24">
        <v>4000</v>
      </c>
      <c r="D31" s="43" t="s">
        <v>31</v>
      </c>
    </row>
    <row r="32" spans="1:4">
      <c r="A32" s="20">
        <v>43153</v>
      </c>
      <c r="B32" s="24">
        <v>11800</v>
      </c>
      <c r="D32" s="43" t="s">
        <v>33</v>
      </c>
    </row>
    <row r="33" spans="1:4">
      <c r="A33" s="20">
        <v>43156</v>
      </c>
      <c r="C33" s="33">
        <v>3614</v>
      </c>
      <c r="D33" s="43" t="s">
        <v>34</v>
      </c>
    </row>
    <row r="34" spans="1:4">
      <c r="A34" s="20">
        <v>43157</v>
      </c>
      <c r="C34" s="33">
        <v>1600</v>
      </c>
      <c r="D34" s="43" t="s">
        <v>35</v>
      </c>
    </row>
    <row r="35" spans="1:4">
      <c r="B35" s="24">
        <v>1500</v>
      </c>
      <c r="D35" s="43" t="s">
        <v>36</v>
      </c>
    </row>
    <row r="36" spans="1:4">
      <c r="A36" s="20">
        <v>43158</v>
      </c>
      <c r="C36" s="33">
        <v>15000</v>
      </c>
      <c r="D36" s="43" t="s">
        <v>37</v>
      </c>
    </row>
    <row r="37" spans="1:4">
      <c r="A37" s="20">
        <v>43159</v>
      </c>
      <c r="C37" s="33">
        <v>3000</v>
      </c>
      <c r="D37" s="43" t="s">
        <v>38</v>
      </c>
    </row>
    <row r="38" spans="1:4">
      <c r="A38" s="20">
        <v>43161</v>
      </c>
      <c r="C38" s="33">
        <v>1000</v>
      </c>
      <c r="D38" s="43" t="s">
        <v>39</v>
      </c>
    </row>
    <row r="39" spans="1:4">
      <c r="A39" s="20">
        <v>43162</v>
      </c>
      <c r="C39" s="33">
        <v>312</v>
      </c>
      <c r="D39" s="43" t="s">
        <v>40</v>
      </c>
    </row>
    <row r="40" spans="1:4">
      <c r="A40" s="20">
        <v>43163</v>
      </c>
      <c r="B40" s="24">
        <v>3500</v>
      </c>
      <c r="D40" s="43" t="s">
        <v>41</v>
      </c>
    </row>
    <row r="41" spans="1:4">
      <c r="B41" s="24">
        <v>2500</v>
      </c>
      <c r="D41" s="43" t="s">
        <v>42</v>
      </c>
    </row>
    <row r="42" spans="1:4">
      <c r="A42" s="20">
        <v>43165</v>
      </c>
      <c r="B42" s="24">
        <v>5000</v>
      </c>
      <c r="D42" s="43" t="s">
        <v>43</v>
      </c>
    </row>
    <row r="43" spans="1:4">
      <c r="A43" s="20">
        <v>43167</v>
      </c>
      <c r="C43" s="33">
        <v>14000</v>
      </c>
      <c r="D43" s="43" t="s">
        <v>44</v>
      </c>
    </row>
    <row r="44" spans="1:4">
      <c r="A44" s="20">
        <v>43172</v>
      </c>
      <c r="C44" s="33">
        <v>4310</v>
      </c>
      <c r="D44" s="43" t="s">
        <v>45</v>
      </c>
    </row>
    <row r="45" spans="1:4">
      <c r="B45" s="24">
        <v>5000</v>
      </c>
      <c r="D45" s="43" t="s">
        <v>46</v>
      </c>
    </row>
    <row r="46" spans="1:4">
      <c r="C46" s="33">
        <v>4700</v>
      </c>
      <c r="D46" s="43" t="s">
        <v>47</v>
      </c>
    </row>
    <row r="47" spans="1:4">
      <c r="C47" s="33">
        <v>1750</v>
      </c>
      <c r="D47" s="43" t="s">
        <v>48</v>
      </c>
    </row>
    <row r="48" spans="1:4">
      <c r="A48" s="20">
        <v>43174</v>
      </c>
      <c r="C48" s="33">
        <v>3200</v>
      </c>
      <c r="D48" s="43" t="s">
        <v>21</v>
      </c>
    </row>
    <row r="49" spans="1:4">
      <c r="A49" s="20">
        <v>43176</v>
      </c>
      <c r="C49" s="33">
        <v>6000</v>
      </c>
      <c r="D49" s="43" t="s">
        <v>49</v>
      </c>
    </row>
    <row r="50" spans="1:4">
      <c r="A50" s="20">
        <v>43180</v>
      </c>
      <c r="B50" s="24">
        <v>60000</v>
      </c>
      <c r="D50" s="43" t="s">
        <v>50</v>
      </c>
    </row>
    <row r="51" spans="1:4">
      <c r="C51" s="33">
        <v>4200</v>
      </c>
      <c r="D51" s="43" t="s">
        <v>51</v>
      </c>
    </row>
    <row r="52" spans="1:4">
      <c r="A52" s="20">
        <v>43185</v>
      </c>
      <c r="C52" s="33">
        <v>2300</v>
      </c>
      <c r="D52" s="43" t="s">
        <v>52</v>
      </c>
    </row>
    <row r="53" spans="1:4">
      <c r="C53" s="33">
        <v>9300</v>
      </c>
      <c r="D53" s="43" t="s">
        <v>53</v>
      </c>
    </row>
    <row r="54" spans="1:4">
      <c r="A54" s="20">
        <v>43188</v>
      </c>
      <c r="B54" s="24">
        <v>9300</v>
      </c>
      <c r="D54" s="43" t="s">
        <v>54</v>
      </c>
    </row>
    <row r="55" spans="1:4">
      <c r="A55" s="20">
        <v>43193</v>
      </c>
      <c r="C55" s="33">
        <v>1600</v>
      </c>
      <c r="D55" s="43" t="s">
        <v>55</v>
      </c>
    </row>
    <row r="56" spans="1:4">
      <c r="A56" s="20">
        <v>43195</v>
      </c>
      <c r="C56" s="33">
        <v>2500</v>
      </c>
      <c r="D56" s="43" t="s">
        <v>56</v>
      </c>
    </row>
    <row r="57" spans="1:4">
      <c r="A57" s="20">
        <v>43196</v>
      </c>
      <c r="B57" s="24">
        <v>5000</v>
      </c>
      <c r="D57" s="43" t="s">
        <v>57</v>
      </c>
    </row>
    <row r="58" spans="1:4">
      <c r="A58" s="20">
        <v>43197</v>
      </c>
      <c r="C58" s="33">
        <v>2000</v>
      </c>
      <c r="D58" s="43" t="s">
        <v>58</v>
      </c>
    </row>
    <row r="59" spans="1:4">
      <c r="C59" s="33">
        <v>1200</v>
      </c>
      <c r="D59" s="43" t="s">
        <v>59</v>
      </c>
    </row>
    <row r="60" spans="1:4">
      <c r="C60" s="33">
        <v>1200</v>
      </c>
      <c r="D60" s="43" t="s">
        <v>60</v>
      </c>
    </row>
    <row r="61" spans="1:4">
      <c r="A61" s="20">
        <v>43201</v>
      </c>
      <c r="B61" s="24">
        <v>2500</v>
      </c>
      <c r="D61" s="43" t="s">
        <v>61</v>
      </c>
    </row>
    <row r="62" spans="1:4">
      <c r="B62" s="24">
        <v>5000</v>
      </c>
      <c r="D62" s="43" t="s">
        <v>62</v>
      </c>
    </row>
    <row r="63" spans="1:4">
      <c r="A63" s="20">
        <v>43203</v>
      </c>
      <c r="B63" s="24">
        <v>1200</v>
      </c>
      <c r="D63" s="43" t="s">
        <v>63</v>
      </c>
    </row>
    <row r="64" spans="1:4">
      <c r="A64" s="20">
        <v>43209</v>
      </c>
      <c r="B64" s="24">
        <v>5000</v>
      </c>
      <c r="D64" s="43" t="s">
        <v>64</v>
      </c>
    </row>
    <row r="65" spans="1:4">
      <c r="C65" s="33">
        <v>3520</v>
      </c>
      <c r="D65" s="43" t="s">
        <v>65</v>
      </c>
    </row>
    <row r="66" spans="1:4">
      <c r="A66" s="20">
        <v>43214</v>
      </c>
      <c r="B66" s="24">
        <v>6000</v>
      </c>
      <c r="D66" s="43" t="s">
        <v>66</v>
      </c>
    </row>
    <row r="67" spans="1:4">
      <c r="B67" s="24">
        <v>5000</v>
      </c>
      <c r="D67" s="43" t="s">
        <v>67</v>
      </c>
    </row>
    <row r="68" spans="1:4">
      <c r="B68" s="24">
        <v>2000</v>
      </c>
      <c r="D68" s="43" t="s">
        <v>68</v>
      </c>
    </row>
    <row r="69" spans="1:4">
      <c r="A69" s="20">
        <v>43215</v>
      </c>
      <c r="C69" s="33">
        <v>4300</v>
      </c>
      <c r="D69" s="43" t="s">
        <v>69</v>
      </c>
    </row>
    <row r="70" spans="1:4">
      <c r="B70" s="24">
        <v>6250</v>
      </c>
      <c r="D70" s="43" t="s">
        <v>70</v>
      </c>
    </row>
    <row r="71" spans="1:4">
      <c r="A71" s="20">
        <v>43218</v>
      </c>
      <c r="B71" s="24">
        <v>9200</v>
      </c>
      <c r="D71" s="43" t="s">
        <v>71</v>
      </c>
    </row>
    <row r="72" spans="1:4">
      <c r="A72" s="20">
        <v>43226</v>
      </c>
      <c r="B72" s="24">
        <v>70000</v>
      </c>
      <c r="D72" s="43" t="s">
        <v>72</v>
      </c>
    </row>
    <row r="73" spans="1:4">
      <c r="C73" s="33">
        <v>8000</v>
      </c>
      <c r="D73" s="43" t="s">
        <v>73</v>
      </c>
    </row>
    <row r="74" spans="1:4">
      <c r="A74" s="20">
        <v>43227</v>
      </c>
      <c r="C74" s="33">
        <v>38500</v>
      </c>
      <c r="D74" s="43" t="s">
        <v>74</v>
      </c>
    </row>
    <row r="75" spans="1:4">
      <c r="A75" s="20">
        <v>43229</v>
      </c>
      <c r="C75" s="33">
        <v>1200</v>
      </c>
      <c r="D75" s="43" t="s">
        <v>75</v>
      </c>
    </row>
    <row r="76" spans="1:4">
      <c r="A76" s="20">
        <v>42134</v>
      </c>
      <c r="C76" s="33">
        <v>4700</v>
      </c>
      <c r="D76" s="43" t="s">
        <v>76</v>
      </c>
    </row>
    <row r="77" spans="1:4">
      <c r="B77" s="24">
        <v>13000</v>
      </c>
      <c r="D77" s="43" t="s">
        <v>77</v>
      </c>
    </row>
    <row r="78" spans="1:4">
      <c r="A78" s="20">
        <v>42136</v>
      </c>
      <c r="B78" s="24">
        <v>3000</v>
      </c>
      <c r="D78" s="43" t="s">
        <v>79</v>
      </c>
    </row>
    <row r="79" spans="1:4">
      <c r="A79" s="20">
        <v>42137</v>
      </c>
      <c r="B79" s="24">
        <v>10000</v>
      </c>
      <c r="D79" s="43" t="s">
        <v>78</v>
      </c>
    </row>
    <row r="80" spans="1:4">
      <c r="C80" s="33">
        <v>3953</v>
      </c>
      <c r="D80" s="43" t="s">
        <v>80</v>
      </c>
    </row>
    <row r="81" spans="1:4">
      <c r="A81" s="20">
        <v>43234</v>
      </c>
      <c r="C81" s="33">
        <v>1500</v>
      </c>
      <c r="D81" s="43" t="s">
        <v>81</v>
      </c>
    </row>
    <row r="82" spans="1:4">
      <c r="C82" s="33">
        <v>1935</v>
      </c>
      <c r="D82" s="43" t="s">
        <v>82</v>
      </c>
    </row>
    <row r="83" spans="1:4">
      <c r="C83" s="33">
        <v>510</v>
      </c>
      <c r="D83" s="43" t="s">
        <v>83</v>
      </c>
    </row>
    <row r="84" spans="1:4">
      <c r="C84" s="33">
        <v>150</v>
      </c>
      <c r="D84" s="43" t="s">
        <v>84</v>
      </c>
    </row>
    <row r="85" spans="1:4">
      <c r="B85" s="24">
        <v>20000</v>
      </c>
      <c r="D85" s="43" t="s">
        <v>85</v>
      </c>
    </row>
    <row r="86" spans="1:4">
      <c r="A86" s="20">
        <v>43235</v>
      </c>
      <c r="C86" s="33">
        <v>740</v>
      </c>
      <c r="D86" s="43" t="s">
        <v>86</v>
      </c>
    </row>
    <row r="87" spans="1:4">
      <c r="C87" s="33">
        <v>820</v>
      </c>
      <c r="D87" s="43" t="s">
        <v>87</v>
      </c>
    </row>
    <row r="88" spans="1:4">
      <c r="C88" s="33">
        <v>450</v>
      </c>
      <c r="D88" s="43" t="s">
        <v>88</v>
      </c>
    </row>
    <row r="89" spans="1:4">
      <c r="C89" s="33">
        <v>20832</v>
      </c>
      <c r="D89" s="43" t="s">
        <v>91</v>
      </c>
    </row>
    <row r="90" spans="1:4">
      <c r="A90" s="20">
        <v>43245</v>
      </c>
      <c r="C90" s="33">
        <v>3700</v>
      </c>
      <c r="D90" s="43" t="s">
        <v>65</v>
      </c>
    </row>
    <row r="91" spans="1:4">
      <c r="C91" s="33">
        <v>700</v>
      </c>
      <c r="D91" s="43" t="s">
        <v>89</v>
      </c>
    </row>
    <row r="92" spans="1:4">
      <c r="B92" s="24">
        <v>3000</v>
      </c>
      <c r="D92" s="43" t="s">
        <v>90</v>
      </c>
    </row>
    <row r="93" spans="1:4">
      <c r="B93" s="24">
        <v>5000</v>
      </c>
      <c r="D93" s="43" t="s">
        <v>99</v>
      </c>
    </row>
    <row r="94" spans="1:4">
      <c r="B94" s="24">
        <v>1000</v>
      </c>
      <c r="D94" s="43" t="s">
        <v>100</v>
      </c>
    </row>
    <row r="95" spans="1:4">
      <c r="A95" s="20">
        <v>43252</v>
      </c>
      <c r="C95" s="33">
        <v>2500</v>
      </c>
      <c r="D95" s="43" t="s">
        <v>94</v>
      </c>
    </row>
    <row r="96" spans="1:4">
      <c r="C96" s="33">
        <v>500</v>
      </c>
      <c r="D96" s="43" t="s">
        <v>95</v>
      </c>
    </row>
    <row r="97" spans="1:4">
      <c r="C97" s="33">
        <v>400</v>
      </c>
      <c r="D97" s="43" t="s">
        <v>96</v>
      </c>
    </row>
    <row r="98" spans="1:4">
      <c r="A98" s="20">
        <v>43253</v>
      </c>
      <c r="C98" s="33">
        <v>3000</v>
      </c>
      <c r="D98" s="43" t="s">
        <v>92</v>
      </c>
    </row>
    <row r="99" spans="1:4">
      <c r="C99" s="33">
        <v>700</v>
      </c>
      <c r="D99" s="43" t="s">
        <v>93</v>
      </c>
    </row>
    <row r="100" spans="1:4">
      <c r="B100" s="24">
        <v>2000</v>
      </c>
      <c r="D100" s="43" t="s">
        <v>97</v>
      </c>
    </row>
    <row r="101" spans="1:4">
      <c r="B101" s="24">
        <v>9200</v>
      </c>
      <c r="D101" s="43" t="s">
        <v>98</v>
      </c>
    </row>
    <row r="102" spans="1:4">
      <c r="A102" s="20">
        <v>43256</v>
      </c>
      <c r="B102" s="24">
        <v>28000</v>
      </c>
      <c r="D102" s="43" t="s">
        <v>101</v>
      </c>
    </row>
    <row r="103" spans="1:4">
      <c r="A103" s="20">
        <v>43258</v>
      </c>
      <c r="C103" s="33">
        <v>800</v>
      </c>
      <c r="D103" s="43" t="s">
        <v>102</v>
      </c>
    </row>
    <row r="104" spans="1:4">
      <c r="B104" s="24">
        <v>5000</v>
      </c>
      <c r="D104" s="43" t="s">
        <v>103</v>
      </c>
    </row>
    <row r="105" spans="1:4">
      <c r="B105" s="24">
        <v>3000</v>
      </c>
      <c r="D105" s="43" t="s">
        <v>104</v>
      </c>
    </row>
    <row r="106" spans="1:4">
      <c r="A106" s="20">
        <v>43259</v>
      </c>
      <c r="C106" s="33">
        <v>1700</v>
      </c>
      <c r="D106" s="43" t="s">
        <v>105</v>
      </c>
    </row>
    <row r="107" spans="1:4">
      <c r="A107" s="20">
        <v>43261</v>
      </c>
      <c r="C107" s="33">
        <v>18000</v>
      </c>
      <c r="D107" s="43" t="s">
        <v>106</v>
      </c>
    </row>
    <row r="108" spans="1:4">
      <c r="C108" s="33">
        <v>860</v>
      </c>
      <c r="D108" s="43" t="s">
        <v>107</v>
      </c>
    </row>
    <row r="109" spans="1:4">
      <c r="C109" s="33">
        <v>1600</v>
      </c>
      <c r="D109" s="43" t="s">
        <v>108</v>
      </c>
    </row>
    <row r="110" spans="1:4">
      <c r="A110" s="20">
        <v>43262</v>
      </c>
      <c r="C110" s="33">
        <v>400</v>
      </c>
      <c r="D110" s="43" t="s">
        <v>109</v>
      </c>
    </row>
    <row r="111" spans="1:4">
      <c r="B111" s="24">
        <v>10000</v>
      </c>
      <c r="D111" s="43" t="s">
        <v>110</v>
      </c>
    </row>
    <row r="112" spans="1:4">
      <c r="A112" s="20">
        <v>43263</v>
      </c>
      <c r="C112" s="33">
        <v>2000</v>
      </c>
      <c r="D112" s="43" t="s">
        <v>111</v>
      </c>
    </row>
    <row r="113" spans="1:5">
      <c r="A113" s="20">
        <v>43266</v>
      </c>
      <c r="B113" s="24">
        <v>10000</v>
      </c>
      <c r="D113" s="43" t="s">
        <v>112</v>
      </c>
    </row>
    <row r="114" spans="1:5" s="16" customFormat="1">
      <c r="A114" s="58"/>
      <c r="B114" s="30">
        <v>9500</v>
      </c>
      <c r="C114" s="39"/>
      <c r="D114" s="50" t="s">
        <v>113</v>
      </c>
      <c r="E114" s="15"/>
    </row>
    <row r="115" spans="1:5" s="16" customFormat="1">
      <c r="A115" s="58"/>
      <c r="B115" s="30"/>
      <c r="C115" s="39">
        <v>9500</v>
      </c>
      <c r="D115" s="50" t="s">
        <v>114</v>
      </c>
      <c r="E115" s="15"/>
    </row>
    <row r="116" spans="1:5">
      <c r="A116" s="20">
        <v>43276</v>
      </c>
      <c r="C116" s="33">
        <v>1200</v>
      </c>
      <c r="D116" s="43" t="s">
        <v>115</v>
      </c>
    </row>
    <row r="117" spans="1:5">
      <c r="A117" s="20">
        <v>43279</v>
      </c>
      <c r="B117" s="24">
        <v>5000</v>
      </c>
      <c r="D117" s="43" t="s">
        <v>116</v>
      </c>
    </row>
    <row r="118" spans="1:5">
      <c r="A118" s="20">
        <v>43280</v>
      </c>
      <c r="B118" s="24">
        <v>1000</v>
      </c>
      <c r="D118" s="43" t="s">
        <v>117</v>
      </c>
    </row>
    <row r="119" spans="1:5">
      <c r="A119" s="20">
        <v>43281</v>
      </c>
      <c r="C119" s="33">
        <v>170</v>
      </c>
      <c r="D119" s="43" t="s">
        <v>118</v>
      </c>
    </row>
    <row r="120" spans="1:5">
      <c r="A120" s="20">
        <v>43252</v>
      </c>
      <c r="B120" s="24">
        <v>3000</v>
      </c>
      <c r="D120" s="43" t="s">
        <v>119</v>
      </c>
    </row>
    <row r="121" spans="1:5">
      <c r="A121" s="20">
        <v>43322</v>
      </c>
      <c r="B121" s="24">
        <v>20000</v>
      </c>
      <c r="D121" s="43" t="s">
        <v>120</v>
      </c>
    </row>
    <row r="122" spans="1:5">
      <c r="C122" s="33">
        <v>800</v>
      </c>
      <c r="D122" s="43" t="s">
        <v>121</v>
      </c>
    </row>
    <row r="123" spans="1:5">
      <c r="C123" s="33">
        <v>3200</v>
      </c>
      <c r="D123" s="43" t="s">
        <v>122</v>
      </c>
    </row>
    <row r="124" spans="1:5">
      <c r="C124" s="33">
        <v>1200</v>
      </c>
      <c r="D124" s="43" t="s">
        <v>123</v>
      </c>
    </row>
    <row r="125" spans="1:5">
      <c r="C125" s="33">
        <v>1300</v>
      </c>
      <c r="D125" s="43" t="s">
        <v>124</v>
      </c>
    </row>
    <row r="126" spans="1:5">
      <c r="A126" s="20">
        <v>43323</v>
      </c>
      <c r="C126" s="33">
        <v>2300</v>
      </c>
      <c r="D126" s="43" t="s">
        <v>125</v>
      </c>
    </row>
    <row r="127" spans="1:5">
      <c r="A127" s="20">
        <v>43324</v>
      </c>
      <c r="B127" s="24">
        <v>3000</v>
      </c>
      <c r="D127" s="43" t="s">
        <v>126</v>
      </c>
    </row>
    <row r="128" spans="1:5">
      <c r="A128" s="20">
        <v>43327</v>
      </c>
      <c r="B128" s="24">
        <v>50000</v>
      </c>
      <c r="D128" s="43" t="s">
        <v>127</v>
      </c>
    </row>
    <row r="129" spans="1:4">
      <c r="A129" s="20">
        <v>43328</v>
      </c>
      <c r="C129" s="33">
        <v>25000</v>
      </c>
      <c r="D129" s="43" t="s">
        <v>128</v>
      </c>
    </row>
    <row r="130" spans="1:4">
      <c r="C130" s="33">
        <v>4130</v>
      </c>
      <c r="D130" s="43" t="s">
        <v>129</v>
      </c>
    </row>
    <row r="131" spans="1:4">
      <c r="C131" s="33">
        <v>600</v>
      </c>
      <c r="D131" s="43" t="s">
        <v>130</v>
      </c>
    </row>
    <row r="132" spans="1:4">
      <c r="B132" s="24">
        <v>1000</v>
      </c>
      <c r="D132" s="43" t="s">
        <v>131</v>
      </c>
    </row>
    <row r="133" spans="1:4">
      <c r="A133" s="20">
        <v>43329</v>
      </c>
      <c r="B133" s="24">
        <v>1000</v>
      </c>
      <c r="D133" s="43" t="s">
        <v>132</v>
      </c>
    </row>
    <row r="134" spans="1:4">
      <c r="A134" s="20">
        <v>43330</v>
      </c>
      <c r="C134" s="33">
        <v>1260</v>
      </c>
      <c r="D134" s="43" t="s">
        <v>133</v>
      </c>
    </row>
    <row r="135" spans="1:4">
      <c r="A135" s="20">
        <v>43332</v>
      </c>
      <c r="B135" s="24">
        <v>40000</v>
      </c>
      <c r="D135" s="43" t="s">
        <v>134</v>
      </c>
    </row>
    <row r="136" spans="1:4">
      <c r="C136" s="33">
        <v>4590</v>
      </c>
      <c r="D136" s="43" t="s">
        <v>135</v>
      </c>
    </row>
    <row r="137" spans="1:4">
      <c r="C137" s="33">
        <v>2800</v>
      </c>
      <c r="D137" s="43" t="s">
        <v>136</v>
      </c>
    </row>
    <row r="138" spans="1:4">
      <c r="C138" s="33">
        <v>18600</v>
      </c>
      <c r="D138" s="43" t="s">
        <v>137</v>
      </c>
    </row>
    <row r="139" spans="1:4">
      <c r="A139" s="20">
        <v>43335</v>
      </c>
      <c r="C139" s="33">
        <v>1080</v>
      </c>
      <c r="D139" s="43" t="s">
        <v>138</v>
      </c>
    </row>
    <row r="140" spans="1:4">
      <c r="C140" s="33">
        <v>120</v>
      </c>
      <c r="D140" s="43" t="s">
        <v>139</v>
      </c>
    </row>
    <row r="141" spans="1:4">
      <c r="C141" s="33">
        <v>250</v>
      </c>
      <c r="D141" s="43" t="s">
        <v>140</v>
      </c>
    </row>
    <row r="142" spans="1:4">
      <c r="A142" s="20">
        <v>43337</v>
      </c>
      <c r="B142" s="24">
        <v>125000</v>
      </c>
      <c r="D142" s="43" t="s">
        <v>141</v>
      </c>
    </row>
    <row r="143" spans="1:4">
      <c r="C143" s="33">
        <v>8750</v>
      </c>
      <c r="D143" s="43" t="s">
        <v>142</v>
      </c>
    </row>
    <row r="144" spans="1:4">
      <c r="C144" s="33">
        <v>18000</v>
      </c>
      <c r="D144" s="43" t="s">
        <v>143</v>
      </c>
    </row>
    <row r="145" spans="1:4">
      <c r="A145" s="20">
        <v>43355</v>
      </c>
      <c r="C145" s="33">
        <v>16000</v>
      </c>
      <c r="D145" s="43" t="s">
        <v>144</v>
      </c>
    </row>
    <row r="146" spans="1:4">
      <c r="C146" s="33">
        <v>2000</v>
      </c>
      <c r="D146" s="43" t="s">
        <v>145</v>
      </c>
    </row>
    <row r="147" spans="1:4">
      <c r="B147" s="24">
        <v>5000</v>
      </c>
      <c r="D147" s="43" t="s">
        <v>146</v>
      </c>
    </row>
    <row r="148" spans="1:4">
      <c r="B148" s="24">
        <v>1500</v>
      </c>
      <c r="D148" s="43" t="s">
        <v>147</v>
      </c>
    </row>
    <row r="149" spans="1:4">
      <c r="A149" s="20">
        <v>43358</v>
      </c>
      <c r="C149" s="33">
        <v>1100</v>
      </c>
      <c r="D149" s="43" t="s">
        <v>148</v>
      </c>
    </row>
    <row r="150" spans="1:4">
      <c r="B150" s="24">
        <v>5000</v>
      </c>
      <c r="D150" s="43" t="s">
        <v>149</v>
      </c>
    </row>
    <row r="151" spans="1:4">
      <c r="A151" s="20">
        <v>43359</v>
      </c>
      <c r="C151" s="33">
        <v>1000</v>
      </c>
      <c r="D151" s="43" t="s">
        <v>150</v>
      </c>
    </row>
    <row r="152" spans="1:4">
      <c r="C152" s="33">
        <v>3000</v>
      </c>
      <c r="D152" s="43" t="s">
        <v>151</v>
      </c>
    </row>
    <row r="153" spans="1:4">
      <c r="A153" s="20">
        <v>43360</v>
      </c>
      <c r="C153" s="33">
        <v>1880</v>
      </c>
      <c r="D153" s="43" t="s">
        <v>152</v>
      </c>
    </row>
    <row r="154" spans="1:4">
      <c r="C154" s="33">
        <v>200</v>
      </c>
      <c r="D154" s="43" t="s">
        <v>153</v>
      </c>
    </row>
    <row r="155" spans="1:4">
      <c r="A155" s="20">
        <v>43364</v>
      </c>
      <c r="B155" s="24">
        <v>1500</v>
      </c>
      <c r="D155" s="43" t="s">
        <v>154</v>
      </c>
    </row>
    <row r="156" spans="1:4">
      <c r="B156" s="24">
        <v>10000</v>
      </c>
      <c r="D156" s="43" t="s">
        <v>165</v>
      </c>
    </row>
    <row r="157" spans="1:4">
      <c r="B157" s="24">
        <v>12500</v>
      </c>
      <c r="D157" s="43" t="s">
        <v>155</v>
      </c>
    </row>
    <row r="158" spans="1:4">
      <c r="A158" s="20">
        <v>43365</v>
      </c>
      <c r="B158" s="24">
        <v>4000</v>
      </c>
      <c r="D158" s="43" t="s">
        <v>7</v>
      </c>
    </row>
    <row r="159" spans="1:4">
      <c r="A159" s="20">
        <v>43388</v>
      </c>
      <c r="C159" s="33">
        <v>12000</v>
      </c>
      <c r="D159" s="43" t="s">
        <v>156</v>
      </c>
    </row>
    <row r="160" spans="1:4">
      <c r="C160" s="33">
        <v>2500</v>
      </c>
      <c r="D160" s="43" t="s">
        <v>156</v>
      </c>
    </row>
    <row r="161" spans="1:4">
      <c r="A161" s="20">
        <v>43389</v>
      </c>
      <c r="C161" s="33">
        <v>2500</v>
      </c>
      <c r="D161" s="43" t="s">
        <v>157</v>
      </c>
    </row>
    <row r="162" spans="1:4">
      <c r="A162" s="20">
        <v>43393</v>
      </c>
      <c r="C162" s="33">
        <v>5000</v>
      </c>
      <c r="D162" s="43" t="s">
        <v>158</v>
      </c>
    </row>
    <row r="163" spans="1:4">
      <c r="A163" s="20">
        <v>43394</v>
      </c>
      <c r="C163" s="33">
        <v>6000</v>
      </c>
      <c r="D163" s="43" t="s">
        <v>159</v>
      </c>
    </row>
    <row r="164" spans="1:4">
      <c r="A164" s="20">
        <v>43396</v>
      </c>
      <c r="C164" s="33">
        <v>1100</v>
      </c>
      <c r="D164" s="43" t="s">
        <v>160</v>
      </c>
    </row>
    <row r="165" spans="1:4">
      <c r="A165" s="20">
        <v>43399</v>
      </c>
      <c r="C165" s="33">
        <v>910</v>
      </c>
      <c r="D165" s="43" t="s">
        <v>161</v>
      </c>
    </row>
    <row r="166" spans="1:4">
      <c r="A166" s="20">
        <v>43404</v>
      </c>
      <c r="C166" s="33">
        <v>4000</v>
      </c>
      <c r="D166" s="43" t="s">
        <v>162</v>
      </c>
    </row>
    <row r="167" spans="1:4">
      <c r="A167" s="20">
        <v>43408</v>
      </c>
      <c r="C167" s="33">
        <v>2200</v>
      </c>
      <c r="D167" s="43" t="s">
        <v>163</v>
      </c>
    </row>
    <row r="168" spans="1:4">
      <c r="A168" s="20">
        <v>43409</v>
      </c>
      <c r="C168" s="33">
        <v>1950</v>
      </c>
      <c r="D168" s="43" t="s">
        <v>164</v>
      </c>
    </row>
    <row r="169" spans="1:4">
      <c r="A169" s="20">
        <v>43416</v>
      </c>
      <c r="B169" s="24">
        <v>28000</v>
      </c>
      <c r="D169" s="43" t="s">
        <v>165</v>
      </c>
    </row>
    <row r="170" spans="1:4">
      <c r="A170" s="20">
        <v>43417</v>
      </c>
      <c r="C170" s="33">
        <v>1900</v>
      </c>
      <c r="D170" s="43" t="s">
        <v>166</v>
      </c>
    </row>
    <row r="171" spans="1:4">
      <c r="C171" s="33">
        <v>1900</v>
      </c>
      <c r="D171" s="43" t="s">
        <v>167</v>
      </c>
    </row>
    <row r="172" spans="1:4">
      <c r="B172" s="24">
        <v>7000</v>
      </c>
      <c r="D172" s="43" t="s">
        <v>168</v>
      </c>
    </row>
    <row r="173" spans="1:4">
      <c r="C173" s="33">
        <v>2500</v>
      </c>
      <c r="D173" s="43" t="s">
        <v>169</v>
      </c>
    </row>
    <row r="174" spans="1:4">
      <c r="A174" s="20">
        <v>43418</v>
      </c>
      <c r="B174" s="24">
        <v>28000</v>
      </c>
      <c r="D174" s="43" t="s">
        <v>170</v>
      </c>
    </row>
    <row r="175" spans="1:4">
      <c r="B175" s="24">
        <v>60000</v>
      </c>
      <c r="D175" s="43" t="s">
        <v>171</v>
      </c>
    </row>
    <row r="176" spans="1:4">
      <c r="A176" s="20">
        <v>43427</v>
      </c>
      <c r="C176" s="33">
        <v>1400</v>
      </c>
      <c r="D176" s="43" t="s">
        <v>172</v>
      </c>
    </row>
    <row r="177" spans="1:4">
      <c r="C177" s="33">
        <v>900</v>
      </c>
      <c r="D177" s="43" t="s">
        <v>173</v>
      </c>
    </row>
    <row r="178" spans="1:4">
      <c r="A178" s="20">
        <v>43429</v>
      </c>
      <c r="B178" s="24">
        <v>69500</v>
      </c>
      <c r="D178" s="43" t="s">
        <v>174</v>
      </c>
    </row>
    <row r="179" spans="1:4">
      <c r="B179" s="24">
        <v>5000</v>
      </c>
      <c r="D179" s="43" t="s">
        <v>175</v>
      </c>
    </row>
    <row r="180" spans="1:4">
      <c r="C180" s="33">
        <v>65000</v>
      </c>
      <c r="D180" s="43" t="s">
        <v>176</v>
      </c>
    </row>
    <row r="181" spans="1:4">
      <c r="C181" s="33">
        <v>1760</v>
      </c>
      <c r="D181" s="43" t="s">
        <v>173</v>
      </c>
    </row>
    <row r="182" spans="1:4">
      <c r="A182" s="20">
        <v>43431</v>
      </c>
      <c r="B182" s="24">
        <v>27000</v>
      </c>
      <c r="D182" s="43" t="s">
        <v>177</v>
      </c>
    </row>
    <row r="183" spans="1:4">
      <c r="A183" s="20">
        <v>43435</v>
      </c>
      <c r="B183" s="24">
        <v>2400</v>
      </c>
      <c r="D183" s="43" t="s">
        <v>178</v>
      </c>
    </row>
    <row r="184" spans="1:4">
      <c r="C184" s="33">
        <v>2600</v>
      </c>
      <c r="D184" s="43" t="s">
        <v>179</v>
      </c>
    </row>
    <row r="185" spans="1:4">
      <c r="C185" s="33">
        <v>1300</v>
      </c>
      <c r="D185" s="43" t="s">
        <v>180</v>
      </c>
    </row>
    <row r="186" spans="1:4">
      <c r="A186" s="20">
        <v>43436</v>
      </c>
      <c r="C186" s="33">
        <v>2700</v>
      </c>
      <c r="D186" s="43" t="s">
        <v>181</v>
      </c>
    </row>
    <row r="187" spans="1:4">
      <c r="C187" s="33">
        <v>400</v>
      </c>
      <c r="D187" s="43" t="s">
        <v>182</v>
      </c>
    </row>
    <row r="188" spans="1:4">
      <c r="A188" s="20">
        <v>43441</v>
      </c>
      <c r="C188" s="33">
        <v>1200</v>
      </c>
      <c r="D188" s="43" t="s">
        <v>183</v>
      </c>
    </row>
    <row r="189" spans="1:4">
      <c r="A189" s="20">
        <v>43443</v>
      </c>
      <c r="B189" s="24">
        <v>5000</v>
      </c>
      <c r="D189" s="43" t="s">
        <v>184</v>
      </c>
    </row>
    <row r="190" spans="1:4">
      <c r="A190" s="20">
        <v>43446</v>
      </c>
      <c r="C190" s="33">
        <v>1190</v>
      </c>
      <c r="D190" s="43" t="s">
        <v>185</v>
      </c>
    </row>
    <row r="191" spans="1:4">
      <c r="A191" s="20">
        <v>43452</v>
      </c>
      <c r="B191" s="24">
        <v>50000</v>
      </c>
      <c r="D191" s="43" t="s">
        <v>186</v>
      </c>
    </row>
    <row r="192" spans="1:4">
      <c r="B192" s="24">
        <v>6500</v>
      </c>
      <c r="D192" s="43" t="s">
        <v>187</v>
      </c>
    </row>
    <row r="193" spans="1:4">
      <c r="C193" s="33">
        <v>6500</v>
      </c>
      <c r="D193" s="43" t="s">
        <v>188</v>
      </c>
    </row>
    <row r="194" spans="1:4">
      <c r="A194" s="20">
        <v>43453</v>
      </c>
      <c r="C194" s="33">
        <v>23000</v>
      </c>
      <c r="D194" s="43" t="s">
        <v>189</v>
      </c>
    </row>
    <row r="195" spans="1:4">
      <c r="B195" s="24">
        <v>5000</v>
      </c>
      <c r="D195" s="43" t="s">
        <v>192</v>
      </c>
    </row>
    <row r="196" spans="1:4">
      <c r="A196" s="20">
        <v>43457</v>
      </c>
      <c r="B196" s="24">
        <v>11200</v>
      </c>
      <c r="D196" s="43" t="s">
        <v>190</v>
      </c>
    </row>
    <row r="197" spans="1:4">
      <c r="A197" s="20">
        <v>43458</v>
      </c>
      <c r="B197" s="24">
        <v>3000</v>
      </c>
      <c r="D197" s="43" t="s">
        <v>191</v>
      </c>
    </row>
    <row r="198" spans="1:4">
      <c r="C198" s="33">
        <v>9000</v>
      </c>
      <c r="D198" s="43" t="s">
        <v>193</v>
      </c>
    </row>
    <row r="199" spans="1:4">
      <c r="C199" s="33">
        <v>6000</v>
      </c>
      <c r="D199" s="43" t="s">
        <v>194</v>
      </c>
    </row>
    <row r="204" spans="1:4">
      <c r="B204" s="26"/>
    </row>
    <row r="205" spans="1:4">
      <c r="B205" s="26"/>
    </row>
    <row r="206" spans="1:4">
      <c r="B206" s="26"/>
    </row>
    <row r="207" spans="1:4">
      <c r="B207" s="26"/>
    </row>
    <row r="208" spans="1:4">
      <c r="B208" s="26"/>
    </row>
    <row r="209" spans="2:2">
      <c r="B209" s="26"/>
    </row>
    <row r="210" spans="2:2">
      <c r="B210" s="26"/>
    </row>
    <row r="211" spans="2:2">
      <c r="B211" s="26"/>
    </row>
    <row r="212" spans="2:2">
      <c r="B212" s="26"/>
    </row>
    <row r="213" spans="2:2">
      <c r="B213" s="26"/>
    </row>
    <row r="214" spans="2:2">
      <c r="B214" s="26"/>
    </row>
    <row r="344" spans="1:5" s="10" customFormat="1">
      <c r="A344" s="21"/>
      <c r="B344" s="25"/>
      <c r="C344" s="34"/>
      <c r="D344" s="44"/>
      <c r="E344" s="9"/>
    </row>
    <row r="352" spans="1:5" s="11" customFormat="1">
      <c r="A352" s="55"/>
      <c r="B352" s="27"/>
      <c r="C352" s="35"/>
      <c r="D352" s="45"/>
      <c r="E352" s="12"/>
    </row>
    <row r="362" spans="1:5" s="10" customFormat="1">
      <c r="A362" s="21"/>
      <c r="B362" s="25"/>
      <c r="C362" s="34"/>
      <c r="D362" s="44"/>
      <c r="E362" s="9"/>
    </row>
    <row r="411" spans="5:5">
      <c r="E411"/>
    </row>
    <row r="412" spans="5:5">
      <c r="E412"/>
    </row>
    <row r="413" spans="5:5">
      <c r="E413"/>
    </row>
    <row r="414" spans="5:5">
      <c r="E414"/>
    </row>
    <row r="415" spans="5:5">
      <c r="E415"/>
    </row>
    <row r="416" spans="5:5">
      <c r="E416"/>
    </row>
    <row r="417" spans="5:5">
      <c r="E417"/>
    </row>
    <row r="479" spans="1:5" s="11" customFormat="1">
      <c r="A479" s="55"/>
      <c r="B479" s="27"/>
      <c r="C479" s="35"/>
      <c r="D479" s="45"/>
      <c r="E479" s="12"/>
    </row>
    <row r="641" spans="1:5" s="10" customFormat="1">
      <c r="A641" s="21"/>
      <c r="B641" s="25"/>
      <c r="C641" s="34"/>
      <c r="D641" s="44"/>
      <c r="E641" s="9"/>
    </row>
    <row r="736" spans="1:5" s="11" customFormat="1">
      <c r="A736" s="55"/>
      <c r="B736" s="27"/>
      <c r="C736" s="35"/>
      <c r="D736" s="45"/>
      <c r="E736" s="12"/>
    </row>
    <row r="767" spans="1:5" s="10" customFormat="1">
      <c r="A767" s="21"/>
      <c r="B767" s="25"/>
      <c r="C767" s="34"/>
      <c r="D767" s="44"/>
      <c r="E767" s="9"/>
    </row>
    <row r="768" spans="1:5" s="10" customFormat="1">
      <c r="A768" s="21"/>
      <c r="B768" s="25"/>
      <c r="C768" s="34"/>
      <c r="D768" s="44"/>
      <c r="E768" s="9"/>
    </row>
    <row r="790" spans="1:4">
      <c r="B790" s="28"/>
      <c r="C790" s="36"/>
      <c r="D790" s="46"/>
    </row>
    <row r="791" spans="1:4">
      <c r="A791" s="56"/>
      <c r="B791" s="28"/>
      <c r="C791" s="36"/>
      <c r="D791" s="47"/>
    </row>
    <row r="792" spans="1:4">
      <c r="A792" s="56"/>
      <c r="B792" s="28"/>
      <c r="C792" s="36"/>
      <c r="D792" s="47"/>
    </row>
    <row r="793" spans="1:4">
      <c r="A793" s="56"/>
      <c r="B793" s="28"/>
      <c r="C793" s="36"/>
      <c r="D793" s="47"/>
    </row>
    <row r="794" spans="1:4">
      <c r="A794" s="56"/>
    </row>
    <row r="805" spans="3:3">
      <c r="C805" s="37"/>
    </row>
    <row r="921" spans="3:3">
      <c r="C921" s="37"/>
    </row>
    <row r="972" spans="1:5" s="11" customFormat="1">
      <c r="A972" s="55"/>
      <c r="B972" s="27"/>
      <c r="C972" s="35"/>
      <c r="D972" s="45"/>
      <c r="E972" s="12"/>
    </row>
    <row r="990" spans="4:4">
      <c r="D990" s="48"/>
    </row>
    <row r="1130" spans="1:5" s="13" customFormat="1">
      <c r="A1130" s="57"/>
      <c r="B1130" s="29"/>
      <c r="C1130" s="38"/>
      <c r="D1130" s="49"/>
      <c r="E1130" s="14"/>
    </row>
    <row r="1246" spans="1:5" s="16" customFormat="1">
      <c r="A1246" s="58"/>
      <c r="B1246" s="30"/>
      <c r="C1246" s="39"/>
      <c r="D1246" s="50"/>
      <c r="E1246" s="15"/>
    </row>
    <row r="1281" spans="1:5">
      <c r="C1281" s="37"/>
    </row>
    <row r="1282" spans="1:5" s="10" customFormat="1">
      <c r="A1282" s="21"/>
      <c r="B1282" s="25"/>
      <c r="C1282" s="34"/>
      <c r="D1282" s="44"/>
      <c r="E1282" s="9"/>
    </row>
    <row r="1292" spans="1:5" s="10" customFormat="1">
      <c r="A1292" s="21"/>
      <c r="B1292" s="25"/>
      <c r="C1292" s="34"/>
      <c r="D1292" s="44"/>
      <c r="E1292" s="9"/>
    </row>
    <row r="1340" spans="1:5" s="16" customFormat="1">
      <c r="A1340" s="58"/>
      <c r="B1340" s="30"/>
      <c r="C1340" s="39"/>
      <c r="D1340" s="50"/>
      <c r="E1340" s="15"/>
    </row>
    <row r="1391" spans="1:5" s="10" customFormat="1">
      <c r="A1391" s="21"/>
      <c r="B1391" s="25"/>
      <c r="C1391" s="34"/>
      <c r="D1391" s="44"/>
      <c r="E1391" s="9"/>
    </row>
    <row r="1414" spans="5:5">
      <c r="E1414"/>
    </row>
    <row r="1473" spans="1:5" s="8" customFormat="1">
      <c r="A1473" s="59"/>
      <c r="B1473" s="31"/>
      <c r="C1473" s="40"/>
      <c r="D1473" s="51"/>
      <c r="E1473" s="7"/>
    </row>
    <row r="1478" spans="1:5" s="8" customFormat="1">
      <c r="A1478" s="59"/>
      <c r="B1478" s="31"/>
      <c r="C1478" s="40"/>
      <c r="D1478" s="51"/>
      <c r="E1478" s="7"/>
    </row>
    <row r="1482" spans="1:5">
      <c r="D1482" s="18"/>
    </row>
    <row r="1483" spans="1:5">
      <c r="D1483" s="18"/>
    </row>
    <row r="1484" spans="1:5">
      <c r="D1484" s="18"/>
    </row>
    <row r="1485" spans="1:5">
      <c r="D1485" s="18"/>
    </row>
    <row r="1486" spans="1:5">
      <c r="D1486" s="18"/>
    </row>
    <row r="1487" spans="1:5">
      <c r="D1487" s="18"/>
    </row>
    <row r="1488" spans="1:5">
      <c r="D1488" s="18"/>
    </row>
    <row r="1489" spans="4:4">
      <c r="D1489" s="18"/>
    </row>
    <row r="1490" spans="4:4">
      <c r="D1490" s="18"/>
    </row>
    <row r="1491" spans="4:4">
      <c r="D1491" s="18"/>
    </row>
    <row r="1492" spans="4:4">
      <c r="D1492" s="18"/>
    </row>
    <row r="1493" spans="4:4">
      <c r="D1493" s="18"/>
    </row>
    <row r="1494" spans="4:4">
      <c r="D1494" s="18"/>
    </row>
    <row r="1496" spans="4:4">
      <c r="D1496" s="18"/>
    </row>
    <row r="1497" spans="4:4">
      <c r="D1497" s="18"/>
    </row>
    <row r="1498" spans="4:4">
      <c r="D1498" s="18"/>
    </row>
    <row r="1499" spans="4:4">
      <c r="D1499" s="18"/>
    </row>
    <row r="1500" spans="4:4">
      <c r="D1500" s="18"/>
    </row>
    <row r="1501" spans="4:4">
      <c r="D1501" s="18"/>
    </row>
    <row r="1502" spans="4:4">
      <c r="D1502" s="18"/>
    </row>
    <row r="1503" spans="4:4">
      <c r="D1503" s="18"/>
    </row>
    <row r="1504" spans="4:4">
      <c r="D1504" s="18"/>
    </row>
    <row r="1505" spans="4:4">
      <c r="D1505" s="18"/>
    </row>
    <row r="1506" spans="4:4">
      <c r="D1506" s="18"/>
    </row>
    <row r="1507" spans="4:4">
      <c r="D1507" s="18"/>
    </row>
    <row r="1508" spans="4:4">
      <c r="D1508" s="18"/>
    </row>
    <row r="1509" spans="4:4">
      <c r="D1509" s="18"/>
    </row>
    <row r="1510" spans="4:4">
      <c r="D1510" s="18"/>
    </row>
    <row r="1527" spans="1:5" s="13" customFormat="1">
      <c r="A1527" s="57"/>
      <c r="B1527" s="29"/>
      <c r="C1527" s="38"/>
      <c r="D1527" s="49"/>
      <c r="E1527" s="14"/>
    </row>
    <row r="1547" spans="4:4">
      <c r="D1547" s="18"/>
    </row>
    <row r="1548" spans="4:4">
      <c r="D1548" s="18"/>
    </row>
    <row r="1549" spans="4:4">
      <c r="D1549" s="18"/>
    </row>
    <row r="1550" spans="4:4">
      <c r="D1550" s="18"/>
    </row>
    <row r="1551" spans="4:4">
      <c r="D1551" s="18"/>
    </row>
    <row r="1552" spans="4:4">
      <c r="D1552" s="18"/>
    </row>
    <row r="1727" spans="4:4">
      <c r="D1727" s="18"/>
    </row>
    <row r="1794" spans="1:4" ht="13.5" thickBot="1"/>
    <row r="1795" spans="1:4" ht="15.75" thickBot="1">
      <c r="A1795" s="60"/>
      <c r="B1795" s="53"/>
      <c r="C1795" s="54"/>
      <c r="D1795" s="52"/>
    </row>
    <row r="1796" spans="1:4" ht="15.75" thickBot="1">
      <c r="A1796" s="60"/>
      <c r="B1796" s="53"/>
      <c r="C1796" s="54"/>
      <c r="D1796" s="52"/>
    </row>
    <row r="1797" spans="1:4" ht="15.75" thickBot="1">
      <c r="A1797" s="60"/>
      <c r="B1797" s="53"/>
      <c r="C1797" s="54"/>
      <c r="D1797" s="52"/>
    </row>
    <row r="1798" spans="1:4" ht="15.75" thickBot="1">
      <c r="A1798" s="60"/>
      <c r="B1798" s="53"/>
      <c r="C1798" s="54"/>
      <c r="D1798" s="52"/>
    </row>
    <row r="1799" spans="1:4" ht="15.75" thickBot="1">
      <c r="A1799" s="60"/>
      <c r="B1799" s="53"/>
      <c r="C1799" s="54"/>
      <c r="D1799" s="52"/>
    </row>
    <row r="1800" spans="1:4" ht="15.75" thickBot="1">
      <c r="A1800" s="60"/>
      <c r="B1800" s="53"/>
      <c r="C1800" s="54"/>
      <c r="D1800" s="52"/>
    </row>
    <row r="1801" spans="1:4" ht="15.75" thickBot="1">
      <c r="A1801" s="60"/>
      <c r="B1801" s="53"/>
      <c r="C1801" s="54"/>
      <c r="D1801" s="52"/>
    </row>
    <row r="1802" spans="1:4" ht="15.75" thickBot="1">
      <c r="A1802" s="60"/>
      <c r="B1802" s="53"/>
      <c r="C1802" s="54"/>
      <c r="D1802" s="52"/>
    </row>
    <row r="1803" spans="1:4" ht="15.75" thickBot="1">
      <c r="A1803" s="60"/>
      <c r="B1803" s="53"/>
      <c r="C1803" s="54"/>
      <c r="D1803" s="52"/>
    </row>
    <row r="1804" spans="1:4" ht="15.75" thickBot="1">
      <c r="A1804" s="60"/>
      <c r="B1804" s="53"/>
      <c r="C1804" s="54"/>
      <c r="D1804" s="52"/>
    </row>
    <row r="1805" spans="1:4" ht="15.75" thickBot="1">
      <c r="A1805" s="60"/>
      <c r="B1805" s="53"/>
      <c r="C1805" s="54"/>
      <c r="D1805" s="52"/>
    </row>
    <row r="1806" spans="1:4" ht="15.75" thickBot="1">
      <c r="A1806" s="60"/>
      <c r="B1806" s="53"/>
      <c r="C1806" s="54"/>
      <c r="D1806" s="52"/>
    </row>
    <row r="1807" spans="1:4" ht="15.75" thickBot="1">
      <c r="A1807" s="60"/>
      <c r="B1807" s="53"/>
      <c r="C1807" s="54"/>
      <c r="D1807" s="52"/>
    </row>
    <row r="1808" spans="1:4" ht="15.75" thickBot="1">
      <c r="A1808" s="60"/>
      <c r="B1808" s="53"/>
      <c r="C1808" s="54"/>
      <c r="D1808" s="52"/>
    </row>
    <row r="1809" spans="1:4" ht="15.75" thickBot="1">
      <c r="A1809" s="60"/>
      <c r="B1809" s="53"/>
      <c r="C1809" s="54"/>
      <c r="D1809" s="52"/>
    </row>
    <row r="1810" spans="1:4" ht="15.75" thickBot="1">
      <c r="A1810" s="60"/>
      <c r="B1810" s="53"/>
      <c r="C1810" s="54"/>
      <c r="D1810" s="52"/>
    </row>
    <row r="1835" spans="1:5" s="8" customFormat="1">
      <c r="A1835" s="59"/>
      <c r="B1835" s="31"/>
      <c r="C1835" s="40"/>
      <c r="D1835" s="51"/>
      <c r="E1835" s="7"/>
    </row>
  </sheetData>
  <customSheetViews>
    <customSheetView guid="{955A80F1-6459-4BEB-9749-DD0DB9F79645}" scale="110">
      <pane ySplit="3" topLeftCell="A1489" activePane="bottomLeft" state="frozen"/>
      <selection pane="bottomLeft" activeCell="C1509" sqref="C1509"/>
      <pageMargins left="0.75" right="0.75" top="1" bottom="1" header="0.5" footer="0.5"/>
      <pageSetup paperSize="9" orientation="landscape" r:id="rId1"/>
      <headerFooter alignWithMargins="0"/>
    </customSheetView>
  </customSheetViews>
  <mergeCells count="4">
    <mergeCell ref="B3:C3"/>
    <mergeCell ref="F1:G1"/>
    <mergeCell ref="F2:G2"/>
    <mergeCell ref="F3:G3"/>
  </mergeCells>
  <pageMargins left="0.75" right="0.75" top="1" bottom="1" header="0.5" footer="0.5"/>
  <pageSetup paperSize="9" orientation="landscape" r:id="rId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2"/>
  <dimension ref="A1:D7"/>
  <sheetViews>
    <sheetView topLeftCell="D4" zoomScale="140" zoomScaleNormal="140" workbookViewId="0">
      <selection activeCell="T15" sqref="T15"/>
    </sheetView>
  </sheetViews>
  <sheetFormatPr defaultRowHeight="12.75"/>
  <cols>
    <col min="4" max="4" width="11.140625" customWidth="1"/>
  </cols>
  <sheetData>
    <row r="1" spans="1:4">
      <c r="A1" t="s">
        <v>1584</v>
      </c>
      <c r="B1" t="s">
        <v>1585</v>
      </c>
      <c r="C1" t="s">
        <v>1586</v>
      </c>
      <c r="D1" t="s">
        <v>1587</v>
      </c>
    </row>
    <row r="2" spans="1:4" ht="12.75" customHeight="1">
      <c r="A2">
        <v>2018</v>
      </c>
      <c r="B2" s="95">
        <f>'18'!B2</f>
        <v>1031550</v>
      </c>
      <c r="C2" s="95">
        <f>'18'!C2</f>
        <v>535506</v>
      </c>
      <c r="D2" s="95">
        <f>B2-C2</f>
        <v>496044</v>
      </c>
    </row>
    <row r="3" spans="1:4" ht="12.75" customHeight="1">
      <c r="A3">
        <v>2019</v>
      </c>
      <c r="B3" s="95">
        <f>'19'!B2</f>
        <v>3540824</v>
      </c>
      <c r="C3" s="95">
        <f>'19'!C2</f>
        <v>1839484</v>
      </c>
      <c r="D3" s="95">
        <f>B3-C3</f>
        <v>1701340</v>
      </c>
    </row>
    <row r="4" spans="1:4" ht="12.75" customHeight="1">
      <c r="A4">
        <v>2020</v>
      </c>
      <c r="B4" s="95">
        <f>'20'!B2</f>
        <v>3509497</v>
      </c>
      <c r="C4" s="95">
        <f>'20'!C2</f>
        <v>1735936.4</v>
      </c>
      <c r="D4" s="95">
        <f>B4-C4</f>
        <v>1773560.6</v>
      </c>
    </row>
    <row r="5" spans="1:4" ht="12.75" customHeight="1">
      <c r="A5">
        <v>2021</v>
      </c>
      <c r="B5" s="95">
        <f>'21'!B2</f>
        <v>4818296</v>
      </c>
      <c r="C5" s="95">
        <f>'21'!C2</f>
        <v>2491250.75</v>
      </c>
      <c r="D5" s="95">
        <f>B5-C5</f>
        <v>2327045.25</v>
      </c>
    </row>
    <row r="6" spans="1:4" ht="12.75" customHeight="1">
      <c r="A6">
        <v>2022</v>
      </c>
      <c r="B6" s="95">
        <f>'22'!B2</f>
        <v>10224883.649999999</v>
      </c>
      <c r="C6" s="95">
        <f>'22'!C2</f>
        <v>6327440.5</v>
      </c>
      <c r="D6" s="95">
        <f>B6-C6</f>
        <v>3897443.1499999985</v>
      </c>
    </row>
    <row r="7" spans="1:4" ht="12.75" customHeight="1"/>
  </sheetData>
  <customSheetViews>
    <customSheetView guid="{955A80F1-6459-4BEB-9749-DD0DB9F79645}">
      <selection activeCell="A8" sqref="A8:D13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</cp:lastModifiedBy>
  <cp:lastPrinted>2017-01-05T06:30:46Z</cp:lastPrinted>
  <dcterms:created xsi:type="dcterms:W3CDTF">2016-01-11T05:53:47Z</dcterms:created>
  <dcterms:modified xsi:type="dcterms:W3CDTF">2026-04-07T10:10:31Z</dcterms:modified>
</cp:coreProperties>
</file>